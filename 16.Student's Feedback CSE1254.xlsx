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RUET\CO-PO Attainment\CSE 1254\23 Series\"/>
    </mc:Choice>
  </mc:AlternateContent>
  <xr:revisionPtr revIDLastSave="0" documentId="13_ncr:1_{26F55EA0-EFDC-400A-A652-B7A623B8CD46}" xr6:coauthVersionLast="36" xr6:coauthVersionMax="36" xr10:uidLastSave="{00000000-0000-0000-0000-000000000000}"/>
  <bookViews>
    <workbookView xWindow="0" yWindow="0" windowWidth="23040" windowHeight="8940" xr2:uid="{00000000-000D-0000-FFFF-FFFF00000000}"/>
  </bookViews>
  <sheets>
    <sheet name="Input" sheetId="1" r:id="rId1"/>
    <sheet name="Graphs" sheetId="3" r:id="rId2"/>
    <sheet name="Final Feedback" sheetId="5" r:id="rId3"/>
  </sheets>
  <calcPr calcId="191029"/>
</workbook>
</file>

<file path=xl/calcChain.xml><?xml version="1.0" encoding="utf-8"?>
<calcChain xmlns="http://schemas.openxmlformats.org/spreadsheetml/2006/main">
  <c r="A57" i="5" l="1"/>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56" i="5"/>
  <c r="A94" i="5" l="1"/>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F2" i="3" l="1"/>
  <c r="D58" i="3" s="1"/>
  <c r="C29" i="3" l="1"/>
  <c r="C30" i="3"/>
  <c r="C31" i="3"/>
  <c r="F27" i="3"/>
  <c r="E31" i="3"/>
  <c r="D31" i="3"/>
  <c r="C45" i="3"/>
  <c r="C46" i="3"/>
  <c r="C47" i="3"/>
  <c r="F46" i="3"/>
  <c r="F47" i="3"/>
  <c r="E47" i="3"/>
  <c r="D9" i="3"/>
  <c r="E49" i="3"/>
  <c r="D22" i="3"/>
  <c r="D49" i="3"/>
  <c r="C27" i="3"/>
  <c r="C54" i="3"/>
  <c r="C28" i="3"/>
  <c r="C55" i="3"/>
  <c r="C56" i="3"/>
  <c r="C57" i="3"/>
  <c r="D12" i="3"/>
  <c r="E39" i="3"/>
  <c r="C58" i="3"/>
  <c r="E13" i="3"/>
  <c r="D39" i="3"/>
  <c r="D55" i="3"/>
  <c r="C36" i="3"/>
  <c r="E12" i="3"/>
  <c r="C37" i="3"/>
  <c r="D13" i="3"/>
  <c r="E40" i="3"/>
  <c r="H56" i="3"/>
  <c r="E9" i="3"/>
  <c r="D40" i="3"/>
  <c r="G56" i="3"/>
  <c r="D30" i="3"/>
  <c r="H47" i="3"/>
  <c r="D56" i="3"/>
  <c r="E46" i="3"/>
  <c r="F56" i="3"/>
  <c r="E30" i="3"/>
  <c r="D46" i="3"/>
  <c r="E56" i="3"/>
  <c r="D11" i="3"/>
  <c r="F31" i="3"/>
  <c r="G47" i="3"/>
  <c r="H57" i="3"/>
  <c r="C18" i="3"/>
  <c r="E27" i="3"/>
  <c r="C38" i="3"/>
  <c r="G57" i="3"/>
  <c r="C19" i="3"/>
  <c r="C39" i="3"/>
  <c r="H48" i="3"/>
  <c r="F57" i="3"/>
  <c r="C20" i="3"/>
  <c r="H45" i="3"/>
  <c r="F54" i="3"/>
  <c r="E57" i="3"/>
  <c r="C11" i="3"/>
  <c r="C21" i="3"/>
  <c r="E28" i="3"/>
  <c r="E36" i="3"/>
  <c r="G45" i="3"/>
  <c r="F48" i="3"/>
  <c r="E54" i="3"/>
  <c r="D57" i="3"/>
  <c r="C12" i="3"/>
  <c r="C22" i="3"/>
  <c r="D28" i="3"/>
  <c r="D36" i="3"/>
  <c r="F45" i="3"/>
  <c r="E48" i="3"/>
  <c r="D54" i="3"/>
  <c r="H58" i="3"/>
  <c r="C13" i="3"/>
  <c r="D18" i="3"/>
  <c r="F29" i="3"/>
  <c r="E37" i="3"/>
  <c r="E45" i="3"/>
  <c r="D48" i="3"/>
  <c r="H55" i="3"/>
  <c r="G58" i="3"/>
  <c r="E10" i="3"/>
  <c r="D19" i="3"/>
  <c r="E29" i="3"/>
  <c r="D37" i="3"/>
  <c r="D45" i="3"/>
  <c r="H49" i="3"/>
  <c r="G55" i="3"/>
  <c r="F58" i="3"/>
  <c r="D10" i="3"/>
  <c r="D20" i="3"/>
  <c r="D29" i="3"/>
  <c r="E38" i="3"/>
  <c r="H46" i="3"/>
  <c r="G49" i="3"/>
  <c r="F55" i="3"/>
  <c r="E58" i="3"/>
  <c r="C48" i="3"/>
  <c r="D47" i="3"/>
  <c r="H54" i="3"/>
  <c r="C9" i="3"/>
  <c r="D27" i="3"/>
  <c r="C49" i="3"/>
  <c r="G54" i="3"/>
  <c r="C10" i="3"/>
  <c r="F28" i="3"/>
  <c r="C40" i="3"/>
  <c r="G48" i="3"/>
  <c r="E11" i="3"/>
  <c r="D21" i="3"/>
  <c r="F30" i="3"/>
  <c r="D38" i="3"/>
  <c r="G46" i="3"/>
  <c r="F49" i="3"/>
  <c r="E55" i="3"/>
  <c r="B52" i="3"/>
  <c r="B43" i="3"/>
  <c r="B34" i="3"/>
  <c r="B25" i="3"/>
  <c r="B16" i="3"/>
  <c r="B7" i="3"/>
  <c r="D53" i="3"/>
  <c r="E53" i="3"/>
  <c r="F53" i="3"/>
  <c r="G53" i="3"/>
  <c r="H53" i="3"/>
  <c r="D44" i="3"/>
  <c r="E44" i="3"/>
  <c r="F44" i="3"/>
  <c r="G44" i="3"/>
  <c r="H44" i="3"/>
  <c r="D35" i="3"/>
  <c r="E35" i="3"/>
  <c r="D26" i="3"/>
  <c r="E26" i="3"/>
  <c r="F26" i="3"/>
  <c r="D17" i="3"/>
  <c r="C53" i="3"/>
  <c r="C44" i="3"/>
  <c r="C35" i="3"/>
  <c r="C26" i="3"/>
  <c r="C17" i="3"/>
  <c r="D8" i="3"/>
  <c r="E8" i="3"/>
  <c r="C8" i="3"/>
</calcChain>
</file>

<file path=xl/sharedStrings.xml><?xml version="1.0" encoding="utf-8"?>
<sst xmlns="http://schemas.openxmlformats.org/spreadsheetml/2006/main" count="801" uniqueCount="130">
  <si>
    <t>Agree</t>
  </si>
  <si>
    <t>Disagree</t>
  </si>
  <si>
    <t>Strongly Agree</t>
  </si>
  <si>
    <t>Neutral</t>
  </si>
  <si>
    <t>Strongly Disagree</t>
  </si>
  <si>
    <t>Student No.</t>
  </si>
  <si>
    <t>Q. 1</t>
  </si>
  <si>
    <t>Q. 2</t>
  </si>
  <si>
    <t>Q. 3</t>
  </si>
  <si>
    <t>Q. 4</t>
  </si>
  <si>
    <t>Q. 5</t>
  </si>
  <si>
    <t>Q. 6</t>
  </si>
  <si>
    <t>Q. 7</t>
  </si>
  <si>
    <t>Q. 8</t>
  </si>
  <si>
    <t>Q. 9</t>
  </si>
  <si>
    <t>Q. 10</t>
  </si>
  <si>
    <t>Q. 11</t>
  </si>
  <si>
    <t>Q. 12</t>
  </si>
  <si>
    <t>Q. 13</t>
  </si>
  <si>
    <t>Q. 14</t>
  </si>
  <si>
    <t>Q. 15</t>
  </si>
  <si>
    <t>Q. 16</t>
  </si>
  <si>
    <t>Q. 17</t>
  </si>
  <si>
    <t>Q. 18</t>
  </si>
  <si>
    <t>Q. 19</t>
  </si>
  <si>
    <t>Q. 20</t>
  </si>
  <si>
    <t>Q. 21</t>
  </si>
  <si>
    <t>Q. 22</t>
  </si>
  <si>
    <t>Q. 23</t>
  </si>
  <si>
    <t>Course Content and Organization</t>
  </si>
  <si>
    <t>The course objectives were clear</t>
  </si>
  <si>
    <t>The course workload was manageable</t>
  </si>
  <si>
    <t>The course was well organized. (e.g. timely access to materials, notification of changes, etc.)</t>
  </si>
  <si>
    <t>Comments on  Course Content and Organization questions (if any)</t>
  </si>
  <si>
    <t>I participated actively in the course</t>
  </si>
  <si>
    <t>Student Contribution</t>
  </si>
  <si>
    <t xml:space="preserve"> I think I have made progress in this course</t>
  </si>
  <si>
    <t>Comments on   Student Contribution questions (if any)</t>
  </si>
  <si>
    <t>Q. 24</t>
  </si>
  <si>
    <t>Q. 25</t>
  </si>
  <si>
    <t>Q. 26</t>
  </si>
  <si>
    <t>Q. 27</t>
  </si>
  <si>
    <t>Q. 28</t>
  </si>
  <si>
    <t>Q. 29</t>
  </si>
  <si>
    <t>Q. 30</t>
  </si>
  <si>
    <t>Q. 31</t>
  </si>
  <si>
    <t>Learning Environment and Teaching Methods</t>
  </si>
  <si>
    <t>The learning and teaching methods encouraged participation</t>
  </si>
  <si>
    <t>The overall environment in the class was conducive to learning</t>
  </si>
  <si>
    <t>Classrooms were satisfactory</t>
  </si>
  <si>
    <t>I think the course was well structured to achieve the learning outcomes (There was a good balance of lectures)</t>
  </si>
  <si>
    <t>Comments on  Learning Environment and Teaching Methods questions (if any)</t>
  </si>
  <si>
    <t xml:space="preserve">Learning Resources </t>
  </si>
  <si>
    <t>Learning materials (lesson plans, course notes, etc.) were relevant and useful</t>
  </si>
  <si>
    <t>Recommended reading books etc. were relevant and appropriate</t>
  </si>
  <si>
    <t>The provision of learning resources in the library was adequate and appropriate</t>
  </si>
  <si>
    <t>Comments on  Learning Resources  questions (if any)</t>
  </si>
  <si>
    <t>Course teacher showed empathy and helped solving critical problems</t>
  </si>
  <si>
    <t xml:space="preserve">Course Teacher </t>
  </si>
  <si>
    <t>You felt that course teacher is an expert of this course</t>
  </si>
  <si>
    <t>Delivery skill of teacher was satisfactory</t>
  </si>
  <si>
    <t>Course teacher responded to your queries</t>
  </si>
  <si>
    <t>Communication skill of teacher was satisfactory</t>
  </si>
  <si>
    <t>You felt comfortable expressing your problems to your course teacher</t>
  </si>
  <si>
    <t>Comments on  Course Teacher questions (if any)</t>
  </si>
  <si>
    <t>Criteria for Rating</t>
  </si>
  <si>
    <t>Course Structure and Contents</t>
  </si>
  <si>
    <t>Delivery Quality of Teacher</t>
  </si>
  <si>
    <t>Course Duration</t>
  </si>
  <si>
    <t>Environment</t>
  </si>
  <si>
    <t>New Skill Acquisition/Old Skill Developed</t>
  </si>
  <si>
    <t>Overall Rating</t>
  </si>
  <si>
    <t>Comments on  Course Rating criteria (if any)</t>
  </si>
  <si>
    <t>Provide feedback to improve the course</t>
  </si>
  <si>
    <t>Criterias</t>
  </si>
  <si>
    <t>Question Nos.</t>
  </si>
  <si>
    <t>A. CORE QUESTIONS</t>
  </si>
  <si>
    <t>Sl.</t>
  </si>
  <si>
    <t>The course was well organized (e.g., timely access to materials, notification of changes etc.)</t>
  </si>
  <si>
    <t>I think I have made progress in this course</t>
  </si>
  <si>
    <t>I think the course was well structured to achieve the learning outcomes (there was a good balance of lectures)</t>
  </si>
  <si>
    <t>The overall environment in the class was conductive to learning</t>
  </si>
  <si>
    <t>Learning Resources</t>
  </si>
  <si>
    <t>Learning materials (Lesson plans, course notes etc.) were relevant and useful</t>
  </si>
  <si>
    <t>Course Teacher</t>
  </si>
  <si>
    <t>B. COURSE RATING</t>
  </si>
  <si>
    <t>C. ANY OTHER FEEDBACK</t>
  </si>
  <si>
    <t>Department of Electronics &amp; Telecommunication Engineering</t>
  </si>
  <si>
    <t>Rajshahi University of Engineering Technology</t>
  </si>
  <si>
    <t>Comments (if any): No comments</t>
  </si>
  <si>
    <t>Total Participants :</t>
  </si>
  <si>
    <t>N/A</t>
  </si>
  <si>
    <t>It is well enough.</t>
  </si>
  <si>
    <t>Course is well organized.</t>
  </si>
  <si>
    <t>I am satisfied.</t>
  </si>
  <si>
    <t>Course was well organized.</t>
  </si>
  <si>
    <t>Satisfied by taking this course.</t>
  </si>
  <si>
    <t>Overall well.</t>
  </si>
  <si>
    <t>Perfect.</t>
  </si>
  <si>
    <t>Already so organized. Teaching style and lectures are very helpful.</t>
  </si>
  <si>
    <t>Overall good.</t>
  </si>
  <si>
    <t>The course was satisfactory.</t>
  </si>
  <si>
    <t>The lectures were clear and easy to follow.</t>
  </si>
  <si>
    <t>Teaching method was excellent.</t>
  </si>
  <si>
    <t>Everything was arranged properly.</t>
  </si>
  <si>
    <t>Very helpful and well-structured course.</t>
  </si>
  <si>
    <t>Course teacher was very friendly and helpful.</t>
  </si>
  <si>
    <t>Nothing, overall good.</t>
  </si>
  <si>
    <t>Students' Feedback on CSE 1254 (Object Oriented Programing)</t>
  </si>
  <si>
    <t>Session: 2023-24</t>
  </si>
  <si>
    <t>Course Teacher: Md Abu Ismail Siddique, Assistant Professor, Dept of ETE</t>
  </si>
  <si>
    <t>This was an extremely informative and well-delivered course, providing valuable insights.</t>
  </si>
  <si>
    <t>YT video materials could be provided before each lab as students forget about the lab</t>
  </si>
  <si>
    <t>give daily assignment to students to watch some short videos on things that will taught in the upcoming lab.</t>
  </si>
  <si>
    <t>nothing</t>
  </si>
  <si>
    <t>The course was very helpful for me.</t>
  </si>
  <si>
    <t>Overall, The course was effective.</t>
  </si>
  <si>
    <t>Good</t>
  </si>
  <si>
    <t>Problem solving</t>
  </si>
  <si>
    <t>Was standard</t>
  </si>
  <si>
    <t>In last few days we suffers a lot sir for the unfortunate imbalance time shedule,.so to fulfill our credit course we have to even the last 30 have taken a lab final ,a quiz, a viva and then your presentation and the project submission in the same day. And then we came home after the 5 pm and the next day we have to attend 2 more ct. So sir if the time shedule have been perfect,it would help us .</t>
  </si>
  <si>
    <t>Theory course accompanying this course should've been provided for more detailed learning.</t>
  </si>
  <si>
    <t>None</t>
  </si>
  <si>
    <t>Course is satisfactory</t>
  </si>
  <si>
    <t>good</t>
  </si>
  <si>
    <t>The course was quite good.</t>
  </si>
  <si>
    <t>very good</t>
  </si>
  <si>
    <t>The course was overall good, I think some more time should be given on the class for the concepts. And for gaming projects, some extra skills are needed to teach the students. It will boost us to make some more dynamic gaming project</t>
  </si>
  <si>
    <t>The course was satisfactory</t>
  </si>
  <si>
    <t xml:space="preserve">This course was very satisfactory,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</si>
</sst>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0"/>
      <color rgb="FF000000"/>
      <name val="Arial"/>
      <scheme val="minor"/>
    </font>
    <font>
      <b/>
      <sz val="10"/>
      <color theme="1"/>
      <name val="Times New Roman"/>
      <family val="1"/>
    </font>
    <font>
      <sz val="10"/>
      <color rgb="FF000000"/>
      <name val="Times New Roman"/>
      <family val="1"/>
    </font>
    <font>
      <b/>
      <sz val="10"/>
      <color rgb="FF000000"/>
      <name val="Times New Roman"/>
      <family val="1"/>
    </font>
    <font>
      <sz val="8"/>
      <color theme="1"/>
      <name val="Times New Roman"/>
      <family val="1"/>
    </font>
    <font>
      <b/>
      <sz val="8"/>
      <color rgb="FF000000"/>
      <name val="Times New Roman"/>
      <family val="1"/>
    </font>
    <font>
      <b/>
      <sz val="12"/>
      <color rgb="FF000000"/>
      <name val="Times New Roman"/>
      <family val="1"/>
    </font>
    <font>
      <sz val="12"/>
      <color rgb="FF000000"/>
      <name val="Times New Roman"/>
      <family val="1"/>
    </font>
    <font>
      <b/>
      <u/>
      <sz val="10"/>
      <color rgb="FF000000"/>
      <name val="Times New Roman"/>
      <family val="1"/>
    </font>
    <font>
      <b/>
      <sz val="8"/>
      <color theme="1"/>
      <name val="Times New Roman"/>
      <family val="1"/>
    </font>
    <font>
      <sz val="8"/>
      <color rgb="FF000000"/>
      <name val="Times New Roman"/>
      <family val="1"/>
    </font>
    <font>
      <b/>
      <sz val="10"/>
      <color rgb="FFFF0000"/>
      <name val="Times New Roman"/>
      <family val="1"/>
    </font>
    <font>
      <b/>
      <sz val="11"/>
      <color rgb="FFFF0000"/>
      <name val="Times New Roman"/>
      <family val="1"/>
    </font>
    <font>
      <b/>
      <sz val="12"/>
      <color rgb="FFFF0000"/>
      <name val="Times New Roman"/>
      <family val="1"/>
    </font>
    <font>
      <sz val="12"/>
      <color rgb="FF000000"/>
      <name val="Calibri"/>
      <family val="2"/>
    </font>
    <font>
      <sz val="10"/>
      <color rgb="FF000000"/>
      <name val="Arial"/>
      <family val="2"/>
      <scheme val="minor"/>
    </font>
    <font>
      <sz val="11"/>
      <color rgb="FF000000"/>
      <name val="Times New Roman"/>
      <family val="1"/>
    </font>
  </fonts>
  <fills count="5">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2">
    <xf numFmtId="0" fontId="0" fillId="0" borderId="0" xfId="0" applyFont="1" applyAlignment="1"/>
    <xf numFmtId="0" fontId="2" fillId="0" borderId="0" xfId="0" applyFont="1" applyAlignment="1"/>
    <xf numFmtId="0" fontId="3"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2" fillId="0" borderId="0" xfId="0" applyFont="1" applyAlignment="1">
      <alignment horizontal="center"/>
    </xf>
    <xf numFmtId="0" fontId="3" fillId="0" borderId="1" xfId="0" applyFont="1" applyBorder="1" applyAlignment="1">
      <alignment horizontal="center" vertical="center" wrapText="1"/>
    </xf>
    <xf numFmtId="0" fontId="2" fillId="0" borderId="0" xfId="0" applyFont="1" applyAlignment="1">
      <alignment horizontal="center" vertical="center"/>
    </xf>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center" vertical="center" wrapText="1"/>
    </xf>
    <xf numFmtId="0" fontId="5" fillId="0" borderId="0" xfId="0" applyFont="1" applyAlignment="1">
      <alignment horizontal="center" vertical="center"/>
    </xf>
    <xf numFmtId="0" fontId="7" fillId="0" borderId="0" xfId="0" applyFont="1" applyAlignment="1"/>
    <xf numFmtId="0" fontId="7" fillId="0" borderId="0" xfId="0" applyFont="1" applyAlignment="1">
      <alignment wrapText="1"/>
    </xf>
    <xf numFmtId="0" fontId="7" fillId="0" borderId="0" xfId="0" applyFont="1" applyAlignment="1">
      <alignment horizont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justify" vertical="center"/>
    </xf>
    <xf numFmtId="0" fontId="6" fillId="0" borderId="1" xfId="0" applyFont="1" applyBorder="1" applyAlignment="1">
      <alignment horizontal="justify" vertical="center"/>
    </xf>
    <xf numFmtId="0" fontId="7" fillId="0" borderId="2" xfId="0" applyFont="1" applyBorder="1" applyAlignment="1">
      <alignment horizontal="justify" vertical="center"/>
    </xf>
    <xf numFmtId="0" fontId="7" fillId="0" borderId="4" xfId="0" applyFont="1" applyBorder="1" applyAlignment="1">
      <alignment horizontal="center" vertical="center" wrapText="1"/>
    </xf>
    <xf numFmtId="0" fontId="4"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1" fillId="3" borderId="2" xfId="0" applyFont="1" applyFill="1" applyBorder="1" applyAlignment="1">
      <alignment horizontal="center" vertical="center" textRotation="90" wrapText="1"/>
    </xf>
    <xf numFmtId="0" fontId="1" fillId="3" borderId="3" xfId="0" applyFont="1" applyFill="1" applyBorder="1" applyAlignment="1">
      <alignment vertical="center" textRotation="90" wrapText="1"/>
    </xf>
    <xf numFmtId="0" fontId="11" fillId="3" borderId="1" xfId="0" applyFont="1" applyFill="1" applyBorder="1" applyAlignment="1">
      <alignment horizontal="center" vertical="center" wrapText="1"/>
    </xf>
    <xf numFmtId="0" fontId="7" fillId="0" borderId="0" xfId="0" applyFont="1" applyAlignment="1">
      <alignment horizont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0" xfId="0" applyFont="1" applyAlignment="1">
      <alignment horizontal="center" wrapText="1"/>
    </xf>
    <xf numFmtId="0" fontId="6" fillId="0" borderId="0" xfId="0" applyFont="1" applyAlignment="1">
      <alignment horizontal="center" wrapText="1"/>
    </xf>
    <xf numFmtId="0" fontId="6" fillId="0" borderId="0" xfId="0" applyFont="1" applyBorder="1" applyAlignment="1">
      <alignment horizontal="center" vertical="center" wrapText="1"/>
    </xf>
    <xf numFmtId="0" fontId="12" fillId="0" borderId="0" xfId="0" applyFont="1" applyAlignment="1">
      <alignment horizontal="center" vertical="center"/>
    </xf>
    <xf numFmtId="2" fontId="2" fillId="0" borderId="1" xfId="0" applyNumberFormat="1" applyFont="1" applyBorder="1" applyAlignment="1">
      <alignment horizontal="center"/>
    </xf>
    <xf numFmtId="164" fontId="2" fillId="0" borderId="1" xfId="0" applyNumberFormat="1" applyFont="1" applyBorder="1" applyAlignment="1">
      <alignment horizontal="center"/>
    </xf>
    <xf numFmtId="0" fontId="7" fillId="0" borderId="0" xfId="0" applyFont="1" applyBorder="1" applyAlignment="1">
      <alignment horizontal="center" vertical="center" wrapText="1"/>
    </xf>
    <xf numFmtId="0" fontId="7" fillId="0" borderId="0" xfId="0" applyFont="1" applyBorder="1" applyAlignment="1">
      <alignment horizontal="left" vertical="center" wrapText="1"/>
    </xf>
    <xf numFmtId="0" fontId="14" fillId="0" borderId="0" xfId="0" applyFont="1" applyAlignment="1">
      <alignment wrapText="1"/>
    </xf>
    <xf numFmtId="0" fontId="0" fillId="0" borderId="0" xfId="0" applyFont="1" applyAlignment="1">
      <alignment wrapText="1"/>
    </xf>
    <xf numFmtId="0" fontId="15" fillId="0" borderId="0" xfId="0" applyFont="1" applyAlignment="1"/>
    <xf numFmtId="0" fontId="5"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0" borderId="5" xfId="0" applyFont="1" applyBorder="1" applyAlignment="1">
      <alignment horizontal="center" vertical="center"/>
    </xf>
    <xf numFmtId="0" fontId="3" fillId="0" borderId="1" xfId="0" applyFont="1" applyBorder="1" applyAlignment="1">
      <alignment horizontal="center"/>
    </xf>
    <xf numFmtId="0" fontId="3" fillId="0" borderId="0" xfId="0" applyFont="1" applyAlignment="1">
      <alignment horizontal="center"/>
    </xf>
    <xf numFmtId="0" fontId="13" fillId="4" borderId="8" xfId="0" applyFont="1" applyFill="1" applyBorder="1" applyAlignment="1">
      <alignment horizontal="center" vertical="center"/>
    </xf>
    <xf numFmtId="0" fontId="13" fillId="4" borderId="11" xfId="0" applyFont="1" applyFill="1" applyBorder="1" applyAlignment="1">
      <alignment horizontal="center" vertical="center"/>
    </xf>
    <xf numFmtId="0" fontId="13" fillId="4" borderId="6"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9" xfId="0" applyFont="1" applyFill="1" applyBorder="1" applyAlignment="1">
      <alignment horizontal="center" vertical="center"/>
    </xf>
    <xf numFmtId="0" fontId="13" fillId="4" borderId="10" xfId="0" applyFont="1" applyFill="1" applyBorder="1" applyAlignment="1">
      <alignment horizontal="center" vertical="center"/>
    </xf>
    <xf numFmtId="0" fontId="6" fillId="0" borderId="0" xfId="0" applyFont="1" applyAlignment="1">
      <alignment horizontal="center" wrapText="1"/>
    </xf>
    <xf numFmtId="0" fontId="7" fillId="0" borderId="0" xfId="0" applyFont="1" applyAlignment="1">
      <alignment horizontal="center" wrapText="1"/>
    </xf>
    <xf numFmtId="0" fontId="16" fillId="0" borderId="0" xfId="0" applyFont="1" applyAlignment="1">
      <alignment horizont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1" xfId="0" applyFont="1" applyBorder="1" applyAlignment="1">
      <alignment horizontal="left" vertical="center" wrapText="1"/>
    </xf>
    <xf numFmtId="0" fontId="6" fillId="0" borderId="4"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0"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700422730522494E-2"/>
          <c:y val="3.0454784061083272E-2"/>
          <c:w val="0.90478342857965421"/>
          <c:h val="0.77618468146027197"/>
        </c:manualLayout>
      </c:layout>
      <c:barChart>
        <c:barDir val="col"/>
        <c:grouping val="clustered"/>
        <c:varyColors val="0"/>
        <c:ser>
          <c:idx val="0"/>
          <c:order val="0"/>
          <c:tx>
            <c:strRef>
              <c:f>Graphs!$B$9</c:f>
              <c:strCache>
                <c:ptCount val="1"/>
                <c:pt idx="0">
                  <c:v>Strongly Agree</c:v>
                </c:pt>
              </c:strCache>
            </c:strRef>
          </c:tx>
          <c:spPr>
            <a:solidFill>
              <a:schemeClr val="accent1"/>
            </a:solidFill>
            <a:ln>
              <a:noFill/>
            </a:ln>
            <a:effectLst/>
          </c:spPr>
          <c:invertIfNegative val="0"/>
          <c:cat>
            <c:strRef>
              <c:f>Graphs!$C$8:$E$8</c:f>
              <c:strCache>
                <c:ptCount val="3"/>
                <c:pt idx="0">
                  <c:v>Q. 1</c:v>
                </c:pt>
                <c:pt idx="1">
                  <c:v>Q. 2</c:v>
                </c:pt>
                <c:pt idx="2">
                  <c:v>Q. 3</c:v>
                </c:pt>
              </c:strCache>
            </c:strRef>
          </c:cat>
          <c:val>
            <c:numRef>
              <c:f>Graphs!$C$9:$E$9</c:f>
              <c:numCache>
                <c:formatCode>0.0</c:formatCode>
                <c:ptCount val="3"/>
                <c:pt idx="0">
                  <c:v>70.588235294117652</c:v>
                </c:pt>
                <c:pt idx="1">
                  <c:v>58.82352941176471</c:v>
                </c:pt>
                <c:pt idx="2">
                  <c:v>64.705882352941174</c:v>
                </c:pt>
              </c:numCache>
            </c:numRef>
          </c:val>
          <c:extLst>
            <c:ext xmlns:c16="http://schemas.microsoft.com/office/drawing/2014/chart" uri="{C3380CC4-5D6E-409C-BE32-E72D297353CC}">
              <c16:uniqueId val="{00000000-9D0E-480D-AA63-0D4C45DE9B17}"/>
            </c:ext>
          </c:extLst>
        </c:ser>
        <c:ser>
          <c:idx val="1"/>
          <c:order val="1"/>
          <c:tx>
            <c:strRef>
              <c:f>Graphs!$B$10</c:f>
              <c:strCache>
                <c:ptCount val="1"/>
                <c:pt idx="0">
                  <c:v>Agree</c:v>
                </c:pt>
              </c:strCache>
            </c:strRef>
          </c:tx>
          <c:spPr>
            <a:solidFill>
              <a:schemeClr val="accent2"/>
            </a:solidFill>
            <a:ln>
              <a:noFill/>
            </a:ln>
            <a:effectLst/>
          </c:spPr>
          <c:invertIfNegative val="0"/>
          <c:cat>
            <c:strRef>
              <c:f>Graphs!$C$8:$E$8</c:f>
              <c:strCache>
                <c:ptCount val="3"/>
                <c:pt idx="0">
                  <c:v>Q. 1</c:v>
                </c:pt>
                <c:pt idx="1">
                  <c:v>Q. 2</c:v>
                </c:pt>
                <c:pt idx="2">
                  <c:v>Q. 3</c:v>
                </c:pt>
              </c:strCache>
            </c:strRef>
          </c:cat>
          <c:val>
            <c:numRef>
              <c:f>Graphs!$C$10:$E$10</c:f>
              <c:numCache>
                <c:formatCode>0.0</c:formatCode>
                <c:ptCount val="3"/>
                <c:pt idx="0">
                  <c:v>26.47058823529412</c:v>
                </c:pt>
                <c:pt idx="1">
                  <c:v>35.294117647058826</c:v>
                </c:pt>
                <c:pt idx="2">
                  <c:v>26.47058823529412</c:v>
                </c:pt>
              </c:numCache>
            </c:numRef>
          </c:val>
          <c:extLst>
            <c:ext xmlns:c16="http://schemas.microsoft.com/office/drawing/2014/chart" uri="{C3380CC4-5D6E-409C-BE32-E72D297353CC}">
              <c16:uniqueId val="{00000001-9D0E-480D-AA63-0D4C45DE9B17}"/>
            </c:ext>
          </c:extLst>
        </c:ser>
        <c:ser>
          <c:idx val="2"/>
          <c:order val="2"/>
          <c:tx>
            <c:strRef>
              <c:f>Graphs!$B$11</c:f>
              <c:strCache>
                <c:ptCount val="1"/>
                <c:pt idx="0">
                  <c:v>Neutral</c:v>
                </c:pt>
              </c:strCache>
            </c:strRef>
          </c:tx>
          <c:spPr>
            <a:solidFill>
              <a:schemeClr val="accent3"/>
            </a:solidFill>
            <a:ln>
              <a:noFill/>
            </a:ln>
            <a:effectLst/>
          </c:spPr>
          <c:invertIfNegative val="0"/>
          <c:cat>
            <c:strRef>
              <c:f>Graphs!$C$8:$E$8</c:f>
              <c:strCache>
                <c:ptCount val="3"/>
                <c:pt idx="0">
                  <c:v>Q. 1</c:v>
                </c:pt>
                <c:pt idx="1">
                  <c:v>Q. 2</c:v>
                </c:pt>
                <c:pt idx="2">
                  <c:v>Q. 3</c:v>
                </c:pt>
              </c:strCache>
            </c:strRef>
          </c:cat>
          <c:val>
            <c:numRef>
              <c:f>Graphs!$C$11:$E$11</c:f>
              <c:numCache>
                <c:formatCode>0.0</c:formatCode>
                <c:ptCount val="3"/>
                <c:pt idx="0">
                  <c:v>0</c:v>
                </c:pt>
                <c:pt idx="1">
                  <c:v>0</c:v>
                </c:pt>
                <c:pt idx="2">
                  <c:v>5.8823529411764701</c:v>
                </c:pt>
              </c:numCache>
            </c:numRef>
          </c:val>
          <c:extLst>
            <c:ext xmlns:c16="http://schemas.microsoft.com/office/drawing/2014/chart" uri="{C3380CC4-5D6E-409C-BE32-E72D297353CC}">
              <c16:uniqueId val="{00000002-9D0E-480D-AA63-0D4C45DE9B17}"/>
            </c:ext>
          </c:extLst>
        </c:ser>
        <c:ser>
          <c:idx val="3"/>
          <c:order val="3"/>
          <c:tx>
            <c:strRef>
              <c:f>Graphs!$B$12</c:f>
              <c:strCache>
                <c:ptCount val="1"/>
                <c:pt idx="0">
                  <c:v>Disagree</c:v>
                </c:pt>
              </c:strCache>
            </c:strRef>
          </c:tx>
          <c:spPr>
            <a:solidFill>
              <a:schemeClr val="accent4"/>
            </a:solidFill>
            <a:ln>
              <a:noFill/>
            </a:ln>
            <a:effectLst/>
          </c:spPr>
          <c:invertIfNegative val="0"/>
          <c:cat>
            <c:strRef>
              <c:f>Graphs!$C$8:$E$8</c:f>
              <c:strCache>
                <c:ptCount val="3"/>
                <c:pt idx="0">
                  <c:v>Q. 1</c:v>
                </c:pt>
                <c:pt idx="1">
                  <c:v>Q. 2</c:v>
                </c:pt>
                <c:pt idx="2">
                  <c:v>Q. 3</c:v>
                </c:pt>
              </c:strCache>
            </c:strRef>
          </c:cat>
          <c:val>
            <c:numRef>
              <c:f>Graphs!$C$12:$E$12</c:f>
              <c:numCache>
                <c:formatCode>0.0</c:formatCode>
                <c:ptCount val="3"/>
                <c:pt idx="0">
                  <c:v>0</c:v>
                </c:pt>
                <c:pt idx="1">
                  <c:v>5.8823529411764701</c:v>
                </c:pt>
                <c:pt idx="2">
                  <c:v>2.9411764705882351</c:v>
                </c:pt>
              </c:numCache>
            </c:numRef>
          </c:val>
          <c:extLst>
            <c:ext xmlns:c16="http://schemas.microsoft.com/office/drawing/2014/chart" uri="{C3380CC4-5D6E-409C-BE32-E72D297353CC}">
              <c16:uniqueId val="{00000003-9D0E-480D-AA63-0D4C45DE9B17}"/>
            </c:ext>
          </c:extLst>
        </c:ser>
        <c:ser>
          <c:idx val="4"/>
          <c:order val="4"/>
          <c:tx>
            <c:strRef>
              <c:f>Graphs!$B$13</c:f>
              <c:strCache>
                <c:ptCount val="1"/>
                <c:pt idx="0">
                  <c:v>Strongly Disagree</c:v>
                </c:pt>
              </c:strCache>
            </c:strRef>
          </c:tx>
          <c:spPr>
            <a:solidFill>
              <a:schemeClr val="accent5"/>
            </a:solidFill>
            <a:ln>
              <a:noFill/>
            </a:ln>
            <a:effectLst/>
          </c:spPr>
          <c:invertIfNegative val="0"/>
          <c:cat>
            <c:strRef>
              <c:f>Graphs!$C$8:$E$8</c:f>
              <c:strCache>
                <c:ptCount val="3"/>
                <c:pt idx="0">
                  <c:v>Q. 1</c:v>
                </c:pt>
                <c:pt idx="1">
                  <c:v>Q. 2</c:v>
                </c:pt>
                <c:pt idx="2">
                  <c:v>Q. 3</c:v>
                </c:pt>
              </c:strCache>
            </c:strRef>
          </c:cat>
          <c:val>
            <c:numRef>
              <c:f>Graphs!$C$13:$E$13</c:f>
              <c:numCache>
                <c:formatCode>0.0</c:formatCode>
                <c:ptCount val="3"/>
                <c:pt idx="0">
                  <c:v>2.9411764705882351</c:v>
                </c:pt>
                <c:pt idx="1">
                  <c:v>0</c:v>
                </c:pt>
                <c:pt idx="2">
                  <c:v>0</c:v>
                </c:pt>
              </c:numCache>
            </c:numRef>
          </c:val>
          <c:extLst>
            <c:ext xmlns:c16="http://schemas.microsoft.com/office/drawing/2014/chart" uri="{C3380CC4-5D6E-409C-BE32-E72D297353CC}">
              <c16:uniqueId val="{00000004-9D0E-480D-AA63-0D4C45DE9B17}"/>
            </c:ext>
          </c:extLst>
        </c:ser>
        <c:dLbls>
          <c:showLegendKey val="0"/>
          <c:showVal val="0"/>
          <c:showCatName val="0"/>
          <c:showSerName val="0"/>
          <c:showPercent val="0"/>
          <c:showBubbleSize val="0"/>
        </c:dLbls>
        <c:gapWidth val="219"/>
        <c:overlap val="-27"/>
        <c:axId val="-694576480"/>
        <c:axId val="-694577024"/>
      </c:barChart>
      <c:catAx>
        <c:axId val="-69457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4577024"/>
        <c:crosses val="autoZero"/>
        <c:auto val="1"/>
        <c:lblAlgn val="ctr"/>
        <c:lblOffset val="100"/>
        <c:noMultiLvlLbl val="0"/>
      </c:catAx>
      <c:valAx>
        <c:axId val="-694577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4576480"/>
        <c:crosses val="autoZero"/>
        <c:crossBetween val="between"/>
      </c:valAx>
      <c:spPr>
        <a:noFill/>
        <a:ln>
          <a:noFill/>
        </a:ln>
        <a:effectLst/>
      </c:spPr>
    </c:plotArea>
    <c:legend>
      <c:legendPos val="b"/>
      <c:layout>
        <c:manualLayout>
          <c:xMode val="edge"/>
          <c:yMode val="edge"/>
          <c:x val="5.304692260816575E-2"/>
          <c:y val="0.8912149844905749"/>
          <c:w val="0.9"/>
          <c:h val="9.66638033882128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984950275710954E-2"/>
          <c:y val="5.6089743589743592E-2"/>
          <c:w val="0.90749211394447238"/>
          <c:h val="0.6880646830203917"/>
        </c:manualLayout>
      </c:layout>
      <c:barChart>
        <c:barDir val="col"/>
        <c:grouping val="clustered"/>
        <c:varyColors val="0"/>
        <c:ser>
          <c:idx val="0"/>
          <c:order val="0"/>
          <c:tx>
            <c:strRef>
              <c:f>Graphs!$B$18</c:f>
              <c:strCache>
                <c:ptCount val="1"/>
                <c:pt idx="0">
                  <c:v>Strongly Agree</c:v>
                </c:pt>
              </c:strCache>
            </c:strRef>
          </c:tx>
          <c:spPr>
            <a:solidFill>
              <a:schemeClr val="accent1"/>
            </a:solidFill>
            <a:ln>
              <a:noFill/>
            </a:ln>
            <a:effectLst/>
          </c:spPr>
          <c:invertIfNegative val="0"/>
          <c:cat>
            <c:strRef>
              <c:f>Graphs!$C$17:$D$17</c:f>
              <c:strCache>
                <c:ptCount val="2"/>
                <c:pt idx="0">
                  <c:v>Q. 5</c:v>
                </c:pt>
                <c:pt idx="1">
                  <c:v>Q. 6</c:v>
                </c:pt>
              </c:strCache>
            </c:strRef>
          </c:cat>
          <c:val>
            <c:numRef>
              <c:f>Graphs!$C$18:$D$18</c:f>
              <c:numCache>
                <c:formatCode>0.0</c:formatCode>
                <c:ptCount val="2"/>
                <c:pt idx="0">
                  <c:v>58.82352941176471</c:v>
                </c:pt>
                <c:pt idx="1">
                  <c:v>61.764705882352942</c:v>
                </c:pt>
              </c:numCache>
            </c:numRef>
          </c:val>
          <c:extLst>
            <c:ext xmlns:c16="http://schemas.microsoft.com/office/drawing/2014/chart" uri="{C3380CC4-5D6E-409C-BE32-E72D297353CC}">
              <c16:uniqueId val="{00000000-D511-4701-A3C7-B16F9E77D613}"/>
            </c:ext>
          </c:extLst>
        </c:ser>
        <c:ser>
          <c:idx val="1"/>
          <c:order val="1"/>
          <c:tx>
            <c:strRef>
              <c:f>Graphs!$B$19</c:f>
              <c:strCache>
                <c:ptCount val="1"/>
                <c:pt idx="0">
                  <c:v>Agree</c:v>
                </c:pt>
              </c:strCache>
            </c:strRef>
          </c:tx>
          <c:spPr>
            <a:solidFill>
              <a:schemeClr val="accent2"/>
            </a:solidFill>
            <a:ln>
              <a:noFill/>
            </a:ln>
            <a:effectLst/>
          </c:spPr>
          <c:invertIfNegative val="0"/>
          <c:cat>
            <c:strRef>
              <c:f>Graphs!$C$17:$D$17</c:f>
              <c:strCache>
                <c:ptCount val="2"/>
                <c:pt idx="0">
                  <c:v>Q. 5</c:v>
                </c:pt>
                <c:pt idx="1">
                  <c:v>Q. 6</c:v>
                </c:pt>
              </c:strCache>
            </c:strRef>
          </c:cat>
          <c:val>
            <c:numRef>
              <c:f>Graphs!$C$19:$D$19</c:f>
              <c:numCache>
                <c:formatCode>0.0</c:formatCode>
                <c:ptCount val="2"/>
                <c:pt idx="0">
                  <c:v>41.17647058823529</c:v>
                </c:pt>
                <c:pt idx="1">
                  <c:v>29.411764705882355</c:v>
                </c:pt>
              </c:numCache>
            </c:numRef>
          </c:val>
          <c:extLst>
            <c:ext xmlns:c16="http://schemas.microsoft.com/office/drawing/2014/chart" uri="{C3380CC4-5D6E-409C-BE32-E72D297353CC}">
              <c16:uniqueId val="{00000001-D511-4701-A3C7-B16F9E77D613}"/>
            </c:ext>
          </c:extLst>
        </c:ser>
        <c:ser>
          <c:idx val="2"/>
          <c:order val="2"/>
          <c:tx>
            <c:strRef>
              <c:f>Graphs!$B$20</c:f>
              <c:strCache>
                <c:ptCount val="1"/>
                <c:pt idx="0">
                  <c:v>Neutral</c:v>
                </c:pt>
              </c:strCache>
            </c:strRef>
          </c:tx>
          <c:spPr>
            <a:solidFill>
              <a:schemeClr val="accent3"/>
            </a:solidFill>
            <a:ln>
              <a:noFill/>
            </a:ln>
            <a:effectLst/>
          </c:spPr>
          <c:invertIfNegative val="0"/>
          <c:cat>
            <c:strRef>
              <c:f>Graphs!$C$17:$D$17</c:f>
              <c:strCache>
                <c:ptCount val="2"/>
                <c:pt idx="0">
                  <c:v>Q. 5</c:v>
                </c:pt>
                <c:pt idx="1">
                  <c:v>Q. 6</c:v>
                </c:pt>
              </c:strCache>
            </c:strRef>
          </c:cat>
          <c:val>
            <c:numRef>
              <c:f>Graphs!$C$20:$D$20</c:f>
              <c:numCache>
                <c:formatCode>0.0</c:formatCode>
                <c:ptCount val="2"/>
                <c:pt idx="0">
                  <c:v>0</c:v>
                </c:pt>
                <c:pt idx="1">
                  <c:v>5.8823529411764701</c:v>
                </c:pt>
              </c:numCache>
            </c:numRef>
          </c:val>
          <c:extLst>
            <c:ext xmlns:c16="http://schemas.microsoft.com/office/drawing/2014/chart" uri="{C3380CC4-5D6E-409C-BE32-E72D297353CC}">
              <c16:uniqueId val="{00000002-D511-4701-A3C7-B16F9E77D613}"/>
            </c:ext>
          </c:extLst>
        </c:ser>
        <c:ser>
          <c:idx val="3"/>
          <c:order val="3"/>
          <c:tx>
            <c:strRef>
              <c:f>Graphs!$B$21</c:f>
              <c:strCache>
                <c:ptCount val="1"/>
                <c:pt idx="0">
                  <c:v>Disagree</c:v>
                </c:pt>
              </c:strCache>
            </c:strRef>
          </c:tx>
          <c:spPr>
            <a:solidFill>
              <a:schemeClr val="accent4"/>
            </a:solidFill>
            <a:ln>
              <a:noFill/>
            </a:ln>
            <a:effectLst/>
          </c:spPr>
          <c:invertIfNegative val="0"/>
          <c:cat>
            <c:strRef>
              <c:f>Graphs!$C$17:$D$17</c:f>
              <c:strCache>
                <c:ptCount val="2"/>
                <c:pt idx="0">
                  <c:v>Q. 5</c:v>
                </c:pt>
                <c:pt idx="1">
                  <c:v>Q. 6</c:v>
                </c:pt>
              </c:strCache>
            </c:strRef>
          </c:cat>
          <c:val>
            <c:numRef>
              <c:f>Graphs!$C$21:$D$21</c:f>
              <c:numCache>
                <c:formatCode>0.0</c:formatCode>
                <c:ptCount val="2"/>
                <c:pt idx="0">
                  <c:v>0</c:v>
                </c:pt>
                <c:pt idx="1">
                  <c:v>2.9411764705882351</c:v>
                </c:pt>
              </c:numCache>
            </c:numRef>
          </c:val>
          <c:extLst>
            <c:ext xmlns:c16="http://schemas.microsoft.com/office/drawing/2014/chart" uri="{C3380CC4-5D6E-409C-BE32-E72D297353CC}">
              <c16:uniqueId val="{00000003-D511-4701-A3C7-B16F9E77D613}"/>
            </c:ext>
          </c:extLst>
        </c:ser>
        <c:ser>
          <c:idx val="4"/>
          <c:order val="4"/>
          <c:tx>
            <c:strRef>
              <c:f>Graphs!$B$22</c:f>
              <c:strCache>
                <c:ptCount val="1"/>
                <c:pt idx="0">
                  <c:v>Strongly Disagree</c:v>
                </c:pt>
              </c:strCache>
            </c:strRef>
          </c:tx>
          <c:spPr>
            <a:solidFill>
              <a:schemeClr val="accent5"/>
            </a:solidFill>
            <a:ln>
              <a:noFill/>
            </a:ln>
            <a:effectLst/>
          </c:spPr>
          <c:invertIfNegative val="0"/>
          <c:cat>
            <c:strRef>
              <c:f>Graphs!$C$17:$D$17</c:f>
              <c:strCache>
                <c:ptCount val="2"/>
                <c:pt idx="0">
                  <c:v>Q. 5</c:v>
                </c:pt>
                <c:pt idx="1">
                  <c:v>Q. 6</c:v>
                </c:pt>
              </c:strCache>
            </c:strRef>
          </c:cat>
          <c:val>
            <c:numRef>
              <c:f>Graphs!$C$22:$D$22</c:f>
              <c:numCache>
                <c:formatCode>0.0</c:formatCode>
                <c:ptCount val="2"/>
                <c:pt idx="0">
                  <c:v>0</c:v>
                </c:pt>
                <c:pt idx="1">
                  <c:v>0</c:v>
                </c:pt>
              </c:numCache>
            </c:numRef>
          </c:val>
          <c:extLst>
            <c:ext xmlns:c16="http://schemas.microsoft.com/office/drawing/2014/chart" uri="{C3380CC4-5D6E-409C-BE32-E72D297353CC}">
              <c16:uniqueId val="{00000004-D511-4701-A3C7-B16F9E77D613}"/>
            </c:ext>
          </c:extLst>
        </c:ser>
        <c:dLbls>
          <c:showLegendKey val="0"/>
          <c:showVal val="0"/>
          <c:showCatName val="0"/>
          <c:showSerName val="0"/>
          <c:showPercent val="0"/>
          <c:showBubbleSize val="0"/>
        </c:dLbls>
        <c:gapWidth val="219"/>
        <c:overlap val="-27"/>
        <c:axId val="-694577568"/>
        <c:axId val="-934579360"/>
      </c:barChart>
      <c:catAx>
        <c:axId val="-6945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4579360"/>
        <c:crosses val="autoZero"/>
        <c:auto val="1"/>
        <c:lblAlgn val="ctr"/>
        <c:lblOffset val="100"/>
        <c:noMultiLvlLbl val="0"/>
      </c:catAx>
      <c:valAx>
        <c:axId val="-934579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4577568"/>
        <c:crosses val="autoZero"/>
        <c:crossBetween val="between"/>
      </c:valAx>
      <c:spPr>
        <a:noFill/>
        <a:ln>
          <a:noFill/>
        </a:ln>
        <a:effectLst/>
      </c:spPr>
    </c:plotArea>
    <c:legend>
      <c:legendPos val="b"/>
      <c:layout>
        <c:manualLayout>
          <c:xMode val="edge"/>
          <c:yMode val="edge"/>
          <c:x val="5.000000000000001E-2"/>
          <c:y val="0.84816083686654553"/>
          <c:w val="0.9"/>
          <c:h val="0.12780070159499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74574407249373E-2"/>
          <c:y val="2.8490028490028491E-2"/>
          <c:w val="0.9092176327121122"/>
          <c:h val="0.8104011037081903"/>
        </c:manualLayout>
      </c:layout>
      <c:barChart>
        <c:barDir val="col"/>
        <c:grouping val="clustered"/>
        <c:varyColors val="0"/>
        <c:ser>
          <c:idx val="0"/>
          <c:order val="0"/>
          <c:tx>
            <c:strRef>
              <c:f>Graphs!$B$27</c:f>
              <c:strCache>
                <c:ptCount val="1"/>
                <c:pt idx="0">
                  <c:v>Strongly Agree</c:v>
                </c:pt>
              </c:strCache>
            </c:strRef>
          </c:tx>
          <c:spPr>
            <a:solidFill>
              <a:schemeClr val="accent1"/>
            </a:solidFill>
            <a:ln>
              <a:noFill/>
            </a:ln>
            <a:effectLst/>
          </c:spPr>
          <c:invertIfNegative val="0"/>
          <c:cat>
            <c:strRef>
              <c:f>Graphs!$C$26:$F$26</c:f>
              <c:strCache>
                <c:ptCount val="4"/>
                <c:pt idx="0">
                  <c:v>Q. 8</c:v>
                </c:pt>
                <c:pt idx="1">
                  <c:v>Q. 9</c:v>
                </c:pt>
                <c:pt idx="2">
                  <c:v>Q. 10</c:v>
                </c:pt>
                <c:pt idx="3">
                  <c:v>Q. 11</c:v>
                </c:pt>
              </c:strCache>
            </c:strRef>
          </c:cat>
          <c:val>
            <c:numRef>
              <c:f>Graphs!$C$27:$F$27</c:f>
              <c:numCache>
                <c:formatCode>0.0</c:formatCode>
                <c:ptCount val="4"/>
                <c:pt idx="0">
                  <c:v>61.764705882352942</c:v>
                </c:pt>
                <c:pt idx="1">
                  <c:v>64.705882352941174</c:v>
                </c:pt>
                <c:pt idx="2">
                  <c:v>64.705882352941174</c:v>
                </c:pt>
                <c:pt idx="3">
                  <c:v>61.764705882352942</c:v>
                </c:pt>
              </c:numCache>
            </c:numRef>
          </c:val>
          <c:extLst>
            <c:ext xmlns:c16="http://schemas.microsoft.com/office/drawing/2014/chart" uri="{C3380CC4-5D6E-409C-BE32-E72D297353CC}">
              <c16:uniqueId val="{00000000-4A7B-4A62-B1B6-5A47DC74DE6C}"/>
            </c:ext>
          </c:extLst>
        </c:ser>
        <c:ser>
          <c:idx val="1"/>
          <c:order val="1"/>
          <c:tx>
            <c:strRef>
              <c:f>Graphs!$B$28</c:f>
              <c:strCache>
                <c:ptCount val="1"/>
                <c:pt idx="0">
                  <c:v>Agree</c:v>
                </c:pt>
              </c:strCache>
            </c:strRef>
          </c:tx>
          <c:spPr>
            <a:solidFill>
              <a:schemeClr val="accent2"/>
            </a:solidFill>
            <a:ln>
              <a:noFill/>
            </a:ln>
            <a:effectLst/>
          </c:spPr>
          <c:invertIfNegative val="0"/>
          <c:cat>
            <c:strRef>
              <c:f>Graphs!$C$26:$F$26</c:f>
              <c:strCache>
                <c:ptCount val="4"/>
                <c:pt idx="0">
                  <c:v>Q. 8</c:v>
                </c:pt>
                <c:pt idx="1">
                  <c:v>Q. 9</c:v>
                </c:pt>
                <c:pt idx="2">
                  <c:v>Q. 10</c:v>
                </c:pt>
                <c:pt idx="3">
                  <c:v>Q. 11</c:v>
                </c:pt>
              </c:strCache>
            </c:strRef>
          </c:cat>
          <c:val>
            <c:numRef>
              <c:f>Graphs!$C$28:$F$28</c:f>
              <c:numCache>
                <c:formatCode>0.0</c:formatCode>
                <c:ptCount val="4"/>
                <c:pt idx="0">
                  <c:v>29.411764705882355</c:v>
                </c:pt>
                <c:pt idx="1">
                  <c:v>23.52941176470588</c:v>
                </c:pt>
                <c:pt idx="2">
                  <c:v>29.411764705882355</c:v>
                </c:pt>
                <c:pt idx="3">
                  <c:v>32.352941176470587</c:v>
                </c:pt>
              </c:numCache>
            </c:numRef>
          </c:val>
          <c:extLst>
            <c:ext xmlns:c16="http://schemas.microsoft.com/office/drawing/2014/chart" uri="{C3380CC4-5D6E-409C-BE32-E72D297353CC}">
              <c16:uniqueId val="{00000001-4A7B-4A62-B1B6-5A47DC74DE6C}"/>
            </c:ext>
          </c:extLst>
        </c:ser>
        <c:ser>
          <c:idx val="2"/>
          <c:order val="2"/>
          <c:tx>
            <c:strRef>
              <c:f>Graphs!$B$29</c:f>
              <c:strCache>
                <c:ptCount val="1"/>
                <c:pt idx="0">
                  <c:v>Neutral</c:v>
                </c:pt>
              </c:strCache>
            </c:strRef>
          </c:tx>
          <c:spPr>
            <a:solidFill>
              <a:schemeClr val="accent3"/>
            </a:solidFill>
            <a:ln>
              <a:noFill/>
            </a:ln>
            <a:effectLst/>
          </c:spPr>
          <c:invertIfNegative val="0"/>
          <c:cat>
            <c:strRef>
              <c:f>Graphs!$C$26:$F$26</c:f>
              <c:strCache>
                <c:ptCount val="4"/>
                <c:pt idx="0">
                  <c:v>Q. 8</c:v>
                </c:pt>
                <c:pt idx="1">
                  <c:v>Q. 9</c:v>
                </c:pt>
                <c:pt idx="2">
                  <c:v>Q. 10</c:v>
                </c:pt>
                <c:pt idx="3">
                  <c:v>Q. 11</c:v>
                </c:pt>
              </c:strCache>
            </c:strRef>
          </c:cat>
          <c:val>
            <c:numRef>
              <c:f>Graphs!$C$29:$F$29</c:f>
              <c:numCache>
                <c:formatCode>0.0</c:formatCode>
                <c:ptCount val="4"/>
                <c:pt idx="0">
                  <c:v>5.8823529411764701</c:v>
                </c:pt>
                <c:pt idx="1">
                  <c:v>8.8235294117647065</c:v>
                </c:pt>
                <c:pt idx="2">
                  <c:v>0</c:v>
                </c:pt>
                <c:pt idx="3">
                  <c:v>0</c:v>
                </c:pt>
              </c:numCache>
            </c:numRef>
          </c:val>
          <c:extLst>
            <c:ext xmlns:c16="http://schemas.microsoft.com/office/drawing/2014/chart" uri="{C3380CC4-5D6E-409C-BE32-E72D297353CC}">
              <c16:uniqueId val="{00000002-4A7B-4A62-B1B6-5A47DC74DE6C}"/>
            </c:ext>
          </c:extLst>
        </c:ser>
        <c:ser>
          <c:idx val="3"/>
          <c:order val="3"/>
          <c:tx>
            <c:strRef>
              <c:f>Graphs!$B$30</c:f>
              <c:strCache>
                <c:ptCount val="1"/>
                <c:pt idx="0">
                  <c:v>Disagree</c:v>
                </c:pt>
              </c:strCache>
            </c:strRef>
          </c:tx>
          <c:spPr>
            <a:solidFill>
              <a:schemeClr val="accent4"/>
            </a:solidFill>
            <a:ln>
              <a:noFill/>
            </a:ln>
            <a:effectLst/>
          </c:spPr>
          <c:invertIfNegative val="0"/>
          <c:cat>
            <c:strRef>
              <c:f>Graphs!$C$26:$F$26</c:f>
              <c:strCache>
                <c:ptCount val="4"/>
                <c:pt idx="0">
                  <c:v>Q. 8</c:v>
                </c:pt>
                <c:pt idx="1">
                  <c:v>Q. 9</c:v>
                </c:pt>
                <c:pt idx="2">
                  <c:v>Q. 10</c:v>
                </c:pt>
                <c:pt idx="3">
                  <c:v>Q. 11</c:v>
                </c:pt>
              </c:strCache>
            </c:strRef>
          </c:cat>
          <c:val>
            <c:numRef>
              <c:f>Graphs!$C$30:$F$30</c:f>
              <c:numCache>
                <c:formatCode>0.0</c:formatCode>
                <c:ptCount val="4"/>
                <c:pt idx="0">
                  <c:v>2.9411764705882351</c:v>
                </c:pt>
                <c:pt idx="1">
                  <c:v>2.9411764705882351</c:v>
                </c:pt>
                <c:pt idx="2">
                  <c:v>2.9411764705882351</c:v>
                </c:pt>
                <c:pt idx="3">
                  <c:v>5.8823529411764701</c:v>
                </c:pt>
              </c:numCache>
            </c:numRef>
          </c:val>
          <c:extLst>
            <c:ext xmlns:c16="http://schemas.microsoft.com/office/drawing/2014/chart" uri="{C3380CC4-5D6E-409C-BE32-E72D297353CC}">
              <c16:uniqueId val="{00000003-4A7B-4A62-B1B6-5A47DC74DE6C}"/>
            </c:ext>
          </c:extLst>
        </c:ser>
        <c:ser>
          <c:idx val="4"/>
          <c:order val="4"/>
          <c:tx>
            <c:strRef>
              <c:f>Graphs!$B$31</c:f>
              <c:strCache>
                <c:ptCount val="1"/>
                <c:pt idx="0">
                  <c:v>Strongly Disagree</c:v>
                </c:pt>
              </c:strCache>
            </c:strRef>
          </c:tx>
          <c:spPr>
            <a:solidFill>
              <a:schemeClr val="accent5"/>
            </a:solidFill>
            <a:ln>
              <a:noFill/>
            </a:ln>
            <a:effectLst/>
          </c:spPr>
          <c:invertIfNegative val="0"/>
          <c:cat>
            <c:strRef>
              <c:f>Graphs!$C$26:$F$26</c:f>
              <c:strCache>
                <c:ptCount val="4"/>
                <c:pt idx="0">
                  <c:v>Q. 8</c:v>
                </c:pt>
                <c:pt idx="1">
                  <c:v>Q. 9</c:v>
                </c:pt>
                <c:pt idx="2">
                  <c:v>Q. 10</c:v>
                </c:pt>
                <c:pt idx="3">
                  <c:v>Q. 11</c:v>
                </c:pt>
              </c:strCache>
            </c:strRef>
          </c:cat>
          <c:val>
            <c:numRef>
              <c:f>Graphs!$C$31:$F$31</c:f>
              <c:numCache>
                <c:formatCode>0.0</c:formatCode>
                <c:ptCount val="4"/>
                <c:pt idx="0">
                  <c:v>0</c:v>
                </c:pt>
                <c:pt idx="1">
                  <c:v>0</c:v>
                </c:pt>
                <c:pt idx="2">
                  <c:v>2.9411764705882351</c:v>
                </c:pt>
                <c:pt idx="3">
                  <c:v>0</c:v>
                </c:pt>
              </c:numCache>
            </c:numRef>
          </c:val>
          <c:extLst>
            <c:ext xmlns:c16="http://schemas.microsoft.com/office/drawing/2014/chart" uri="{C3380CC4-5D6E-409C-BE32-E72D297353CC}">
              <c16:uniqueId val="{00000004-4A7B-4A62-B1B6-5A47DC74DE6C}"/>
            </c:ext>
          </c:extLst>
        </c:ser>
        <c:dLbls>
          <c:showLegendKey val="0"/>
          <c:showVal val="0"/>
          <c:showCatName val="0"/>
          <c:showSerName val="0"/>
          <c:showPercent val="0"/>
          <c:showBubbleSize val="0"/>
        </c:dLbls>
        <c:gapWidth val="219"/>
        <c:overlap val="-27"/>
        <c:axId val="-593209744"/>
        <c:axId val="-593205936"/>
      </c:barChart>
      <c:catAx>
        <c:axId val="-5932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05936"/>
        <c:crosses val="autoZero"/>
        <c:auto val="1"/>
        <c:lblAlgn val="ctr"/>
        <c:lblOffset val="100"/>
        <c:noMultiLvlLbl val="0"/>
      </c:catAx>
      <c:valAx>
        <c:axId val="-59320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09744"/>
        <c:crosses val="autoZero"/>
        <c:crossBetween val="between"/>
      </c:valAx>
      <c:spPr>
        <a:noFill/>
        <a:ln>
          <a:noFill/>
        </a:ln>
        <a:effectLst/>
      </c:spPr>
    </c:plotArea>
    <c:legend>
      <c:legendPos val="b"/>
      <c:layout>
        <c:manualLayout>
          <c:xMode val="edge"/>
          <c:yMode val="edge"/>
          <c:x val="0.05"/>
          <c:y val="0.91002123666165657"/>
          <c:w val="0.9"/>
          <c:h val="7.57337490933291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04001047928157E-2"/>
          <c:y val="2.8104247036234566E-2"/>
          <c:w val="0.91605028114554077"/>
          <c:h val="0.77668049463615707"/>
        </c:manualLayout>
      </c:layout>
      <c:barChart>
        <c:barDir val="col"/>
        <c:grouping val="clustered"/>
        <c:varyColors val="0"/>
        <c:ser>
          <c:idx val="0"/>
          <c:order val="0"/>
          <c:tx>
            <c:strRef>
              <c:f>Graphs!$B$36</c:f>
              <c:strCache>
                <c:ptCount val="1"/>
                <c:pt idx="0">
                  <c:v>Strongly Agree</c:v>
                </c:pt>
              </c:strCache>
            </c:strRef>
          </c:tx>
          <c:spPr>
            <a:solidFill>
              <a:schemeClr val="accent1"/>
            </a:solidFill>
            <a:ln>
              <a:noFill/>
            </a:ln>
            <a:effectLst/>
          </c:spPr>
          <c:invertIfNegative val="0"/>
          <c:cat>
            <c:strRef>
              <c:f>Graphs!$C$35:$E$35</c:f>
              <c:strCache>
                <c:ptCount val="3"/>
                <c:pt idx="0">
                  <c:v>Q. 13</c:v>
                </c:pt>
                <c:pt idx="1">
                  <c:v>Q. 14</c:v>
                </c:pt>
                <c:pt idx="2">
                  <c:v>Q. 15</c:v>
                </c:pt>
              </c:strCache>
            </c:strRef>
          </c:cat>
          <c:val>
            <c:numRef>
              <c:f>Graphs!$C$36:$E$36</c:f>
              <c:numCache>
                <c:formatCode>0.0</c:formatCode>
                <c:ptCount val="3"/>
                <c:pt idx="0">
                  <c:v>64.705882352941174</c:v>
                </c:pt>
                <c:pt idx="1">
                  <c:v>61.764705882352942</c:v>
                </c:pt>
                <c:pt idx="2">
                  <c:v>61.764705882352942</c:v>
                </c:pt>
              </c:numCache>
            </c:numRef>
          </c:val>
          <c:extLst>
            <c:ext xmlns:c16="http://schemas.microsoft.com/office/drawing/2014/chart" uri="{C3380CC4-5D6E-409C-BE32-E72D297353CC}">
              <c16:uniqueId val="{00000000-6450-4AE3-B365-0615CC34FEC1}"/>
            </c:ext>
          </c:extLst>
        </c:ser>
        <c:ser>
          <c:idx val="1"/>
          <c:order val="1"/>
          <c:tx>
            <c:strRef>
              <c:f>Graphs!$B$37</c:f>
              <c:strCache>
                <c:ptCount val="1"/>
                <c:pt idx="0">
                  <c:v>Agree</c:v>
                </c:pt>
              </c:strCache>
            </c:strRef>
          </c:tx>
          <c:spPr>
            <a:solidFill>
              <a:schemeClr val="accent2"/>
            </a:solidFill>
            <a:ln>
              <a:noFill/>
            </a:ln>
            <a:effectLst/>
          </c:spPr>
          <c:invertIfNegative val="0"/>
          <c:cat>
            <c:strRef>
              <c:f>Graphs!$C$35:$E$35</c:f>
              <c:strCache>
                <c:ptCount val="3"/>
                <c:pt idx="0">
                  <c:v>Q. 13</c:v>
                </c:pt>
                <c:pt idx="1">
                  <c:v>Q. 14</c:v>
                </c:pt>
                <c:pt idx="2">
                  <c:v>Q. 15</c:v>
                </c:pt>
              </c:strCache>
            </c:strRef>
          </c:cat>
          <c:val>
            <c:numRef>
              <c:f>Graphs!$C$37:$E$37</c:f>
              <c:numCache>
                <c:formatCode>0.0</c:formatCode>
                <c:ptCount val="3"/>
                <c:pt idx="0">
                  <c:v>29.411764705882355</c:v>
                </c:pt>
                <c:pt idx="1">
                  <c:v>26.47058823529412</c:v>
                </c:pt>
                <c:pt idx="2">
                  <c:v>29.411764705882355</c:v>
                </c:pt>
              </c:numCache>
            </c:numRef>
          </c:val>
          <c:extLst>
            <c:ext xmlns:c16="http://schemas.microsoft.com/office/drawing/2014/chart" uri="{C3380CC4-5D6E-409C-BE32-E72D297353CC}">
              <c16:uniqueId val="{00000001-6450-4AE3-B365-0615CC34FEC1}"/>
            </c:ext>
          </c:extLst>
        </c:ser>
        <c:ser>
          <c:idx val="2"/>
          <c:order val="2"/>
          <c:tx>
            <c:strRef>
              <c:f>Graphs!$B$38</c:f>
              <c:strCache>
                <c:ptCount val="1"/>
                <c:pt idx="0">
                  <c:v>Neutral</c:v>
                </c:pt>
              </c:strCache>
            </c:strRef>
          </c:tx>
          <c:spPr>
            <a:solidFill>
              <a:schemeClr val="accent3"/>
            </a:solidFill>
            <a:ln>
              <a:noFill/>
            </a:ln>
            <a:effectLst/>
          </c:spPr>
          <c:invertIfNegative val="0"/>
          <c:cat>
            <c:strRef>
              <c:f>Graphs!$C$35:$E$35</c:f>
              <c:strCache>
                <c:ptCount val="3"/>
                <c:pt idx="0">
                  <c:v>Q. 13</c:v>
                </c:pt>
                <c:pt idx="1">
                  <c:v>Q. 14</c:v>
                </c:pt>
                <c:pt idx="2">
                  <c:v>Q. 15</c:v>
                </c:pt>
              </c:strCache>
            </c:strRef>
          </c:cat>
          <c:val>
            <c:numRef>
              <c:f>Graphs!$C$38:$E$38</c:f>
              <c:numCache>
                <c:formatCode>0.0</c:formatCode>
                <c:ptCount val="3"/>
                <c:pt idx="0">
                  <c:v>2.9411764705882351</c:v>
                </c:pt>
                <c:pt idx="1">
                  <c:v>11.76470588235294</c:v>
                </c:pt>
                <c:pt idx="2">
                  <c:v>5.8823529411764701</c:v>
                </c:pt>
              </c:numCache>
            </c:numRef>
          </c:val>
          <c:extLst>
            <c:ext xmlns:c16="http://schemas.microsoft.com/office/drawing/2014/chart" uri="{C3380CC4-5D6E-409C-BE32-E72D297353CC}">
              <c16:uniqueId val="{00000002-6450-4AE3-B365-0615CC34FEC1}"/>
            </c:ext>
          </c:extLst>
        </c:ser>
        <c:ser>
          <c:idx val="3"/>
          <c:order val="3"/>
          <c:tx>
            <c:strRef>
              <c:f>Graphs!$B$39</c:f>
              <c:strCache>
                <c:ptCount val="1"/>
                <c:pt idx="0">
                  <c:v>Disagree</c:v>
                </c:pt>
              </c:strCache>
            </c:strRef>
          </c:tx>
          <c:spPr>
            <a:solidFill>
              <a:schemeClr val="accent4"/>
            </a:solidFill>
            <a:ln>
              <a:noFill/>
            </a:ln>
            <a:effectLst/>
          </c:spPr>
          <c:invertIfNegative val="0"/>
          <c:cat>
            <c:strRef>
              <c:f>Graphs!$C$35:$E$35</c:f>
              <c:strCache>
                <c:ptCount val="3"/>
                <c:pt idx="0">
                  <c:v>Q. 13</c:v>
                </c:pt>
                <c:pt idx="1">
                  <c:v>Q. 14</c:v>
                </c:pt>
                <c:pt idx="2">
                  <c:v>Q. 15</c:v>
                </c:pt>
              </c:strCache>
            </c:strRef>
          </c:cat>
          <c:val>
            <c:numRef>
              <c:f>Graphs!$C$39:$E$39</c:f>
              <c:numCache>
                <c:formatCode>0.0</c:formatCode>
                <c:ptCount val="3"/>
                <c:pt idx="0">
                  <c:v>0</c:v>
                </c:pt>
                <c:pt idx="1">
                  <c:v>0</c:v>
                </c:pt>
                <c:pt idx="2">
                  <c:v>2.9411764705882351</c:v>
                </c:pt>
              </c:numCache>
            </c:numRef>
          </c:val>
          <c:extLst>
            <c:ext xmlns:c16="http://schemas.microsoft.com/office/drawing/2014/chart" uri="{C3380CC4-5D6E-409C-BE32-E72D297353CC}">
              <c16:uniqueId val="{00000003-6450-4AE3-B365-0615CC34FEC1}"/>
            </c:ext>
          </c:extLst>
        </c:ser>
        <c:ser>
          <c:idx val="4"/>
          <c:order val="4"/>
          <c:tx>
            <c:strRef>
              <c:f>Graphs!$B$40</c:f>
              <c:strCache>
                <c:ptCount val="1"/>
                <c:pt idx="0">
                  <c:v>Strongly Disagree</c:v>
                </c:pt>
              </c:strCache>
            </c:strRef>
          </c:tx>
          <c:spPr>
            <a:solidFill>
              <a:schemeClr val="accent5"/>
            </a:solidFill>
            <a:ln>
              <a:noFill/>
            </a:ln>
            <a:effectLst/>
          </c:spPr>
          <c:invertIfNegative val="0"/>
          <c:cat>
            <c:strRef>
              <c:f>Graphs!$C$35:$E$35</c:f>
              <c:strCache>
                <c:ptCount val="3"/>
                <c:pt idx="0">
                  <c:v>Q. 13</c:v>
                </c:pt>
                <c:pt idx="1">
                  <c:v>Q. 14</c:v>
                </c:pt>
                <c:pt idx="2">
                  <c:v>Q. 15</c:v>
                </c:pt>
              </c:strCache>
            </c:strRef>
          </c:cat>
          <c:val>
            <c:numRef>
              <c:f>Graphs!$C$40:$E$40</c:f>
              <c:numCache>
                <c:formatCode>0.0</c:formatCode>
                <c:ptCount val="3"/>
                <c:pt idx="0">
                  <c:v>2.9411764705882351</c:v>
                </c:pt>
                <c:pt idx="1">
                  <c:v>0</c:v>
                </c:pt>
                <c:pt idx="2">
                  <c:v>0</c:v>
                </c:pt>
              </c:numCache>
            </c:numRef>
          </c:val>
          <c:extLst>
            <c:ext xmlns:c16="http://schemas.microsoft.com/office/drawing/2014/chart" uri="{C3380CC4-5D6E-409C-BE32-E72D297353CC}">
              <c16:uniqueId val="{00000004-6450-4AE3-B365-0615CC34FEC1}"/>
            </c:ext>
          </c:extLst>
        </c:ser>
        <c:dLbls>
          <c:showLegendKey val="0"/>
          <c:showVal val="0"/>
          <c:showCatName val="0"/>
          <c:showSerName val="0"/>
          <c:showPercent val="0"/>
          <c:showBubbleSize val="0"/>
        </c:dLbls>
        <c:gapWidth val="219"/>
        <c:overlap val="-27"/>
        <c:axId val="-593213552"/>
        <c:axId val="-593213008"/>
      </c:barChart>
      <c:catAx>
        <c:axId val="-59321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13008"/>
        <c:crosses val="autoZero"/>
        <c:auto val="1"/>
        <c:lblAlgn val="ctr"/>
        <c:lblOffset val="100"/>
        <c:noMultiLvlLbl val="0"/>
      </c:catAx>
      <c:valAx>
        <c:axId val="-593213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13552"/>
        <c:crosses val="autoZero"/>
        <c:crossBetween val="between"/>
      </c:valAx>
      <c:spPr>
        <a:noFill/>
        <a:ln>
          <a:noFill/>
        </a:ln>
        <a:effectLst/>
      </c:spPr>
    </c:plotArea>
    <c:legend>
      <c:legendPos val="b"/>
      <c:layout>
        <c:manualLayout>
          <c:xMode val="edge"/>
          <c:yMode val="edge"/>
          <c:x val="0.05"/>
          <c:y val="0.89401830224242107"/>
          <c:w val="0.9"/>
          <c:h val="8.92031742676460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585234041316797E-2"/>
          <c:y val="3.0381944444444444E-2"/>
          <c:w val="0.9162051699257151"/>
          <c:h val="0.82450989184438506"/>
        </c:manualLayout>
      </c:layout>
      <c:barChart>
        <c:barDir val="col"/>
        <c:grouping val="clustered"/>
        <c:varyColors val="0"/>
        <c:ser>
          <c:idx val="0"/>
          <c:order val="0"/>
          <c:tx>
            <c:strRef>
              <c:f>Graphs!$B$45</c:f>
              <c:strCache>
                <c:ptCount val="1"/>
                <c:pt idx="0">
                  <c:v>Strongly Agree</c:v>
                </c:pt>
              </c:strCache>
            </c:strRef>
          </c:tx>
          <c:spPr>
            <a:solidFill>
              <a:schemeClr val="accent1"/>
            </a:solidFill>
            <a:ln>
              <a:noFill/>
            </a:ln>
            <a:effectLst/>
          </c:spPr>
          <c:invertIfNegative val="0"/>
          <c:cat>
            <c:strRef>
              <c:f>Graphs!$C$44:$H$44</c:f>
              <c:strCache>
                <c:ptCount val="6"/>
                <c:pt idx="0">
                  <c:v>Q. 17</c:v>
                </c:pt>
                <c:pt idx="1">
                  <c:v>Q. 18</c:v>
                </c:pt>
                <c:pt idx="2">
                  <c:v>Q. 19</c:v>
                </c:pt>
                <c:pt idx="3">
                  <c:v>Q. 20</c:v>
                </c:pt>
                <c:pt idx="4">
                  <c:v>Q. 21</c:v>
                </c:pt>
                <c:pt idx="5">
                  <c:v>Q. 22</c:v>
                </c:pt>
              </c:strCache>
            </c:strRef>
          </c:cat>
          <c:val>
            <c:numRef>
              <c:f>Graphs!$C$45:$H$45</c:f>
              <c:numCache>
                <c:formatCode>0.0</c:formatCode>
                <c:ptCount val="6"/>
                <c:pt idx="0">
                  <c:v>64.705882352941174</c:v>
                </c:pt>
                <c:pt idx="1">
                  <c:v>55.882352941176471</c:v>
                </c:pt>
                <c:pt idx="2">
                  <c:v>64.705882352941174</c:v>
                </c:pt>
                <c:pt idx="3">
                  <c:v>64.705882352941174</c:v>
                </c:pt>
                <c:pt idx="4">
                  <c:v>67.64705882352942</c:v>
                </c:pt>
                <c:pt idx="5">
                  <c:v>67.64705882352942</c:v>
                </c:pt>
              </c:numCache>
            </c:numRef>
          </c:val>
          <c:extLst>
            <c:ext xmlns:c16="http://schemas.microsoft.com/office/drawing/2014/chart" uri="{C3380CC4-5D6E-409C-BE32-E72D297353CC}">
              <c16:uniqueId val="{00000000-1170-4FF3-9FEE-33B3C6A3D369}"/>
            </c:ext>
          </c:extLst>
        </c:ser>
        <c:ser>
          <c:idx val="1"/>
          <c:order val="1"/>
          <c:tx>
            <c:strRef>
              <c:f>Graphs!$B$46</c:f>
              <c:strCache>
                <c:ptCount val="1"/>
                <c:pt idx="0">
                  <c:v>Agree</c:v>
                </c:pt>
              </c:strCache>
            </c:strRef>
          </c:tx>
          <c:spPr>
            <a:solidFill>
              <a:schemeClr val="accent2"/>
            </a:solidFill>
            <a:ln>
              <a:noFill/>
            </a:ln>
            <a:effectLst/>
          </c:spPr>
          <c:invertIfNegative val="0"/>
          <c:cat>
            <c:strRef>
              <c:f>Graphs!$C$44:$H$44</c:f>
              <c:strCache>
                <c:ptCount val="6"/>
                <c:pt idx="0">
                  <c:v>Q. 17</c:v>
                </c:pt>
                <c:pt idx="1">
                  <c:v>Q. 18</c:v>
                </c:pt>
                <c:pt idx="2">
                  <c:v>Q. 19</c:v>
                </c:pt>
                <c:pt idx="3">
                  <c:v>Q. 20</c:v>
                </c:pt>
                <c:pt idx="4">
                  <c:v>Q. 21</c:v>
                </c:pt>
                <c:pt idx="5">
                  <c:v>Q. 22</c:v>
                </c:pt>
              </c:strCache>
            </c:strRef>
          </c:cat>
          <c:val>
            <c:numRef>
              <c:f>Graphs!$C$46:$H$46</c:f>
              <c:numCache>
                <c:formatCode>0.0</c:formatCode>
                <c:ptCount val="6"/>
                <c:pt idx="0">
                  <c:v>32.352941176470587</c:v>
                </c:pt>
                <c:pt idx="1">
                  <c:v>41.17647058823529</c:v>
                </c:pt>
                <c:pt idx="2">
                  <c:v>32.352941176470587</c:v>
                </c:pt>
                <c:pt idx="3">
                  <c:v>29.411764705882355</c:v>
                </c:pt>
                <c:pt idx="4">
                  <c:v>32.352941176470587</c:v>
                </c:pt>
                <c:pt idx="5">
                  <c:v>26.47058823529412</c:v>
                </c:pt>
              </c:numCache>
            </c:numRef>
          </c:val>
          <c:extLst>
            <c:ext xmlns:c16="http://schemas.microsoft.com/office/drawing/2014/chart" uri="{C3380CC4-5D6E-409C-BE32-E72D297353CC}">
              <c16:uniqueId val="{00000001-1170-4FF3-9FEE-33B3C6A3D369}"/>
            </c:ext>
          </c:extLst>
        </c:ser>
        <c:ser>
          <c:idx val="2"/>
          <c:order val="2"/>
          <c:tx>
            <c:strRef>
              <c:f>Graphs!$B$47</c:f>
              <c:strCache>
                <c:ptCount val="1"/>
                <c:pt idx="0">
                  <c:v>Neutral</c:v>
                </c:pt>
              </c:strCache>
            </c:strRef>
          </c:tx>
          <c:spPr>
            <a:solidFill>
              <a:schemeClr val="accent3"/>
            </a:solidFill>
            <a:ln>
              <a:noFill/>
            </a:ln>
            <a:effectLst/>
          </c:spPr>
          <c:invertIfNegative val="0"/>
          <c:cat>
            <c:strRef>
              <c:f>Graphs!$C$44:$H$44</c:f>
              <c:strCache>
                <c:ptCount val="6"/>
                <c:pt idx="0">
                  <c:v>Q. 17</c:v>
                </c:pt>
                <c:pt idx="1">
                  <c:v>Q. 18</c:v>
                </c:pt>
                <c:pt idx="2">
                  <c:v>Q. 19</c:v>
                </c:pt>
                <c:pt idx="3">
                  <c:v>Q. 20</c:v>
                </c:pt>
                <c:pt idx="4">
                  <c:v>Q. 21</c:v>
                </c:pt>
                <c:pt idx="5">
                  <c:v>Q. 22</c:v>
                </c:pt>
              </c:strCache>
            </c:strRef>
          </c:cat>
          <c:val>
            <c:numRef>
              <c:f>Graphs!$C$47:$H$47</c:f>
              <c:numCache>
                <c:formatCode>0.0</c:formatCode>
                <c:ptCount val="6"/>
                <c:pt idx="0">
                  <c:v>0</c:v>
                </c:pt>
                <c:pt idx="1">
                  <c:v>0</c:v>
                </c:pt>
                <c:pt idx="2">
                  <c:v>2.9411764705882351</c:v>
                </c:pt>
                <c:pt idx="3">
                  <c:v>5.8823529411764701</c:v>
                </c:pt>
                <c:pt idx="4">
                  <c:v>0</c:v>
                </c:pt>
                <c:pt idx="5">
                  <c:v>5.8823529411764701</c:v>
                </c:pt>
              </c:numCache>
            </c:numRef>
          </c:val>
          <c:extLst>
            <c:ext xmlns:c16="http://schemas.microsoft.com/office/drawing/2014/chart" uri="{C3380CC4-5D6E-409C-BE32-E72D297353CC}">
              <c16:uniqueId val="{00000002-1170-4FF3-9FEE-33B3C6A3D369}"/>
            </c:ext>
          </c:extLst>
        </c:ser>
        <c:ser>
          <c:idx val="3"/>
          <c:order val="3"/>
          <c:tx>
            <c:strRef>
              <c:f>Graphs!$B$48</c:f>
              <c:strCache>
                <c:ptCount val="1"/>
                <c:pt idx="0">
                  <c:v>Disagree</c:v>
                </c:pt>
              </c:strCache>
            </c:strRef>
          </c:tx>
          <c:spPr>
            <a:solidFill>
              <a:schemeClr val="accent4"/>
            </a:solidFill>
            <a:ln>
              <a:noFill/>
            </a:ln>
            <a:effectLst/>
          </c:spPr>
          <c:invertIfNegative val="0"/>
          <c:cat>
            <c:strRef>
              <c:f>Graphs!$C$44:$H$44</c:f>
              <c:strCache>
                <c:ptCount val="6"/>
                <c:pt idx="0">
                  <c:v>Q. 17</c:v>
                </c:pt>
                <c:pt idx="1">
                  <c:v>Q. 18</c:v>
                </c:pt>
                <c:pt idx="2">
                  <c:v>Q. 19</c:v>
                </c:pt>
                <c:pt idx="3">
                  <c:v>Q. 20</c:v>
                </c:pt>
                <c:pt idx="4">
                  <c:v>Q. 21</c:v>
                </c:pt>
                <c:pt idx="5">
                  <c:v>Q. 22</c:v>
                </c:pt>
              </c:strCache>
            </c:strRef>
          </c:cat>
          <c:val>
            <c:numRef>
              <c:f>Graphs!$C$48:$H$48</c:f>
              <c:numCache>
                <c:formatCode>0.0</c:formatCode>
                <c:ptCount val="6"/>
                <c:pt idx="0">
                  <c:v>2.9411764705882351</c:v>
                </c:pt>
                <c:pt idx="1">
                  <c:v>0</c:v>
                </c:pt>
                <c:pt idx="2">
                  <c:v>0</c:v>
                </c:pt>
                <c:pt idx="3">
                  <c:v>0</c:v>
                </c:pt>
                <c:pt idx="4">
                  <c:v>0</c:v>
                </c:pt>
                <c:pt idx="5">
                  <c:v>0</c:v>
                </c:pt>
              </c:numCache>
            </c:numRef>
          </c:val>
          <c:extLst>
            <c:ext xmlns:c16="http://schemas.microsoft.com/office/drawing/2014/chart" uri="{C3380CC4-5D6E-409C-BE32-E72D297353CC}">
              <c16:uniqueId val="{00000003-1170-4FF3-9FEE-33B3C6A3D369}"/>
            </c:ext>
          </c:extLst>
        </c:ser>
        <c:ser>
          <c:idx val="4"/>
          <c:order val="4"/>
          <c:tx>
            <c:strRef>
              <c:f>Graphs!$B$49</c:f>
              <c:strCache>
                <c:ptCount val="1"/>
                <c:pt idx="0">
                  <c:v>Strongly Disagree</c:v>
                </c:pt>
              </c:strCache>
            </c:strRef>
          </c:tx>
          <c:spPr>
            <a:solidFill>
              <a:schemeClr val="accent5"/>
            </a:solidFill>
            <a:ln>
              <a:noFill/>
            </a:ln>
            <a:effectLst/>
          </c:spPr>
          <c:invertIfNegative val="0"/>
          <c:cat>
            <c:strRef>
              <c:f>Graphs!$C$44:$H$44</c:f>
              <c:strCache>
                <c:ptCount val="6"/>
                <c:pt idx="0">
                  <c:v>Q. 17</c:v>
                </c:pt>
                <c:pt idx="1">
                  <c:v>Q. 18</c:v>
                </c:pt>
                <c:pt idx="2">
                  <c:v>Q. 19</c:v>
                </c:pt>
                <c:pt idx="3">
                  <c:v>Q. 20</c:v>
                </c:pt>
                <c:pt idx="4">
                  <c:v>Q. 21</c:v>
                </c:pt>
                <c:pt idx="5">
                  <c:v>Q. 22</c:v>
                </c:pt>
              </c:strCache>
            </c:strRef>
          </c:cat>
          <c:val>
            <c:numRef>
              <c:f>Graphs!$C$49:$H$49</c:f>
              <c:numCache>
                <c:formatCode>0.0</c:formatCode>
                <c:ptCount val="6"/>
                <c:pt idx="0">
                  <c:v>0</c:v>
                </c:pt>
                <c:pt idx="1">
                  <c:v>2.9411764705882351</c:v>
                </c:pt>
                <c:pt idx="2">
                  <c:v>0</c:v>
                </c:pt>
                <c:pt idx="3">
                  <c:v>0</c:v>
                </c:pt>
                <c:pt idx="4">
                  <c:v>0</c:v>
                </c:pt>
                <c:pt idx="5">
                  <c:v>0</c:v>
                </c:pt>
              </c:numCache>
            </c:numRef>
          </c:val>
          <c:extLst>
            <c:ext xmlns:c16="http://schemas.microsoft.com/office/drawing/2014/chart" uri="{C3380CC4-5D6E-409C-BE32-E72D297353CC}">
              <c16:uniqueId val="{00000004-1170-4FF3-9FEE-33B3C6A3D369}"/>
            </c:ext>
          </c:extLst>
        </c:ser>
        <c:dLbls>
          <c:showLegendKey val="0"/>
          <c:showVal val="0"/>
          <c:showCatName val="0"/>
          <c:showSerName val="0"/>
          <c:showPercent val="0"/>
          <c:showBubbleSize val="0"/>
        </c:dLbls>
        <c:gapWidth val="219"/>
        <c:overlap val="-27"/>
        <c:axId val="-593214096"/>
        <c:axId val="-593212464"/>
      </c:barChart>
      <c:catAx>
        <c:axId val="-59321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12464"/>
        <c:crosses val="autoZero"/>
        <c:auto val="1"/>
        <c:lblAlgn val="ctr"/>
        <c:lblOffset val="100"/>
        <c:noMultiLvlLbl val="0"/>
      </c:catAx>
      <c:valAx>
        <c:axId val="-593212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14096"/>
        <c:crosses val="autoZero"/>
        <c:crossBetween val="between"/>
      </c:valAx>
      <c:spPr>
        <a:noFill/>
        <a:ln>
          <a:noFill/>
        </a:ln>
        <a:effectLst/>
      </c:spPr>
    </c:plotArea>
    <c:legend>
      <c:legendPos val="b"/>
      <c:layout>
        <c:manualLayout>
          <c:xMode val="edge"/>
          <c:yMode val="edge"/>
          <c:x val="5.000000000000001E-2"/>
          <c:y val="0.91775378663604545"/>
          <c:w val="0.9"/>
          <c:h val="6.92253800306211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34838805526674E-2"/>
          <c:y val="4.2735042735042736E-2"/>
          <c:w val="0.90487396622591976"/>
          <c:h val="0.76045638525953485"/>
        </c:manualLayout>
      </c:layout>
      <c:barChart>
        <c:barDir val="col"/>
        <c:grouping val="clustered"/>
        <c:varyColors val="0"/>
        <c:ser>
          <c:idx val="0"/>
          <c:order val="0"/>
          <c:tx>
            <c:strRef>
              <c:f>Graphs!$B$54</c:f>
              <c:strCache>
                <c:ptCount val="1"/>
                <c:pt idx="0">
                  <c:v>5</c:v>
                </c:pt>
              </c:strCache>
            </c:strRef>
          </c:tx>
          <c:spPr>
            <a:solidFill>
              <a:schemeClr val="accent1"/>
            </a:solidFill>
            <a:ln>
              <a:noFill/>
            </a:ln>
            <a:effectLst/>
          </c:spPr>
          <c:invertIfNegative val="0"/>
          <c:cat>
            <c:strRef>
              <c:f>Graphs!$C$53:$H$53</c:f>
              <c:strCache>
                <c:ptCount val="6"/>
                <c:pt idx="0">
                  <c:v>Q. 24</c:v>
                </c:pt>
                <c:pt idx="1">
                  <c:v>Q. 25</c:v>
                </c:pt>
                <c:pt idx="2">
                  <c:v>Q. 26</c:v>
                </c:pt>
                <c:pt idx="3">
                  <c:v>Q. 27</c:v>
                </c:pt>
                <c:pt idx="4">
                  <c:v>Q. 28</c:v>
                </c:pt>
                <c:pt idx="5">
                  <c:v>Q. 29</c:v>
                </c:pt>
              </c:strCache>
            </c:strRef>
          </c:cat>
          <c:val>
            <c:numRef>
              <c:f>Graphs!$C$54:$H$54</c:f>
              <c:numCache>
                <c:formatCode>0.0</c:formatCode>
                <c:ptCount val="6"/>
                <c:pt idx="0">
                  <c:v>73.529411764705884</c:v>
                </c:pt>
                <c:pt idx="1">
                  <c:v>67.64705882352942</c:v>
                </c:pt>
                <c:pt idx="2">
                  <c:v>58.82352941176471</c:v>
                </c:pt>
                <c:pt idx="3">
                  <c:v>67.64705882352942</c:v>
                </c:pt>
                <c:pt idx="4">
                  <c:v>58.82352941176471</c:v>
                </c:pt>
                <c:pt idx="5">
                  <c:v>67.64705882352942</c:v>
                </c:pt>
              </c:numCache>
            </c:numRef>
          </c:val>
          <c:extLst>
            <c:ext xmlns:c16="http://schemas.microsoft.com/office/drawing/2014/chart" uri="{C3380CC4-5D6E-409C-BE32-E72D297353CC}">
              <c16:uniqueId val="{00000000-C877-43A9-BFF0-24BC70045700}"/>
            </c:ext>
          </c:extLst>
        </c:ser>
        <c:ser>
          <c:idx val="1"/>
          <c:order val="1"/>
          <c:tx>
            <c:strRef>
              <c:f>Graphs!$B$55</c:f>
              <c:strCache>
                <c:ptCount val="1"/>
                <c:pt idx="0">
                  <c:v>4</c:v>
                </c:pt>
              </c:strCache>
            </c:strRef>
          </c:tx>
          <c:spPr>
            <a:solidFill>
              <a:schemeClr val="accent2"/>
            </a:solidFill>
            <a:ln>
              <a:noFill/>
            </a:ln>
            <a:effectLst/>
          </c:spPr>
          <c:invertIfNegative val="0"/>
          <c:cat>
            <c:strRef>
              <c:f>Graphs!$C$53:$H$53</c:f>
              <c:strCache>
                <c:ptCount val="6"/>
                <c:pt idx="0">
                  <c:v>Q. 24</c:v>
                </c:pt>
                <c:pt idx="1">
                  <c:v>Q. 25</c:v>
                </c:pt>
                <c:pt idx="2">
                  <c:v>Q. 26</c:v>
                </c:pt>
                <c:pt idx="3">
                  <c:v>Q. 27</c:v>
                </c:pt>
                <c:pt idx="4">
                  <c:v>Q. 28</c:v>
                </c:pt>
                <c:pt idx="5">
                  <c:v>Q. 29</c:v>
                </c:pt>
              </c:strCache>
            </c:strRef>
          </c:cat>
          <c:val>
            <c:numRef>
              <c:f>Graphs!$C$55:$H$55</c:f>
              <c:numCache>
                <c:formatCode>0.0</c:formatCode>
                <c:ptCount val="6"/>
                <c:pt idx="0">
                  <c:v>20.588235294117645</c:v>
                </c:pt>
                <c:pt idx="1">
                  <c:v>23.52941176470588</c:v>
                </c:pt>
                <c:pt idx="2">
                  <c:v>23.52941176470588</c:v>
                </c:pt>
                <c:pt idx="3">
                  <c:v>23.52941176470588</c:v>
                </c:pt>
                <c:pt idx="4">
                  <c:v>26.47058823529412</c:v>
                </c:pt>
                <c:pt idx="5">
                  <c:v>23.52941176470588</c:v>
                </c:pt>
              </c:numCache>
            </c:numRef>
          </c:val>
          <c:extLst>
            <c:ext xmlns:c16="http://schemas.microsoft.com/office/drawing/2014/chart" uri="{C3380CC4-5D6E-409C-BE32-E72D297353CC}">
              <c16:uniqueId val="{00000001-C877-43A9-BFF0-24BC70045700}"/>
            </c:ext>
          </c:extLst>
        </c:ser>
        <c:ser>
          <c:idx val="2"/>
          <c:order val="2"/>
          <c:tx>
            <c:strRef>
              <c:f>Graphs!$B$56</c:f>
              <c:strCache>
                <c:ptCount val="1"/>
                <c:pt idx="0">
                  <c:v>3</c:v>
                </c:pt>
              </c:strCache>
            </c:strRef>
          </c:tx>
          <c:spPr>
            <a:solidFill>
              <a:schemeClr val="accent3"/>
            </a:solidFill>
            <a:ln>
              <a:noFill/>
            </a:ln>
            <a:effectLst/>
          </c:spPr>
          <c:invertIfNegative val="0"/>
          <c:cat>
            <c:strRef>
              <c:f>Graphs!$C$53:$H$53</c:f>
              <c:strCache>
                <c:ptCount val="6"/>
                <c:pt idx="0">
                  <c:v>Q. 24</c:v>
                </c:pt>
                <c:pt idx="1">
                  <c:v>Q. 25</c:v>
                </c:pt>
                <c:pt idx="2">
                  <c:v>Q. 26</c:v>
                </c:pt>
                <c:pt idx="3">
                  <c:v>Q. 27</c:v>
                </c:pt>
                <c:pt idx="4">
                  <c:v>Q. 28</c:v>
                </c:pt>
                <c:pt idx="5">
                  <c:v>Q. 29</c:v>
                </c:pt>
              </c:strCache>
            </c:strRef>
          </c:cat>
          <c:val>
            <c:numRef>
              <c:f>Graphs!$C$56:$H$56</c:f>
              <c:numCache>
                <c:formatCode>0.0</c:formatCode>
                <c:ptCount val="6"/>
                <c:pt idx="0">
                  <c:v>2.9411764705882351</c:v>
                </c:pt>
                <c:pt idx="1">
                  <c:v>2.9411764705882351</c:v>
                </c:pt>
                <c:pt idx="2">
                  <c:v>11.76470588235294</c:v>
                </c:pt>
                <c:pt idx="3">
                  <c:v>2.9411764705882351</c:v>
                </c:pt>
                <c:pt idx="4">
                  <c:v>11.76470588235294</c:v>
                </c:pt>
                <c:pt idx="5">
                  <c:v>2.9411764705882351</c:v>
                </c:pt>
              </c:numCache>
            </c:numRef>
          </c:val>
          <c:extLst>
            <c:ext xmlns:c16="http://schemas.microsoft.com/office/drawing/2014/chart" uri="{C3380CC4-5D6E-409C-BE32-E72D297353CC}">
              <c16:uniqueId val="{00000002-C877-43A9-BFF0-24BC70045700}"/>
            </c:ext>
          </c:extLst>
        </c:ser>
        <c:ser>
          <c:idx val="3"/>
          <c:order val="3"/>
          <c:tx>
            <c:strRef>
              <c:f>Graphs!$B$57</c:f>
              <c:strCache>
                <c:ptCount val="1"/>
                <c:pt idx="0">
                  <c:v>2</c:v>
                </c:pt>
              </c:strCache>
            </c:strRef>
          </c:tx>
          <c:spPr>
            <a:solidFill>
              <a:schemeClr val="accent4"/>
            </a:solidFill>
            <a:ln>
              <a:noFill/>
            </a:ln>
            <a:effectLst/>
          </c:spPr>
          <c:invertIfNegative val="0"/>
          <c:cat>
            <c:strRef>
              <c:f>Graphs!$C$53:$H$53</c:f>
              <c:strCache>
                <c:ptCount val="6"/>
                <c:pt idx="0">
                  <c:v>Q. 24</c:v>
                </c:pt>
                <c:pt idx="1">
                  <c:v>Q. 25</c:v>
                </c:pt>
                <c:pt idx="2">
                  <c:v>Q. 26</c:v>
                </c:pt>
                <c:pt idx="3">
                  <c:v>Q. 27</c:v>
                </c:pt>
                <c:pt idx="4">
                  <c:v>Q. 28</c:v>
                </c:pt>
                <c:pt idx="5">
                  <c:v>Q. 29</c:v>
                </c:pt>
              </c:strCache>
            </c:strRef>
          </c:cat>
          <c:val>
            <c:numRef>
              <c:f>Graphs!$C$57:$H$57</c:f>
              <c:numCache>
                <c:formatCode>0.0</c:formatCode>
                <c:ptCount val="6"/>
                <c:pt idx="0">
                  <c:v>0</c:v>
                </c:pt>
                <c:pt idx="1">
                  <c:v>0</c:v>
                </c:pt>
                <c:pt idx="2">
                  <c:v>0</c:v>
                </c:pt>
                <c:pt idx="3">
                  <c:v>2.9411764705882351</c:v>
                </c:pt>
                <c:pt idx="4">
                  <c:v>0</c:v>
                </c:pt>
                <c:pt idx="5">
                  <c:v>2.9411764705882351</c:v>
                </c:pt>
              </c:numCache>
            </c:numRef>
          </c:val>
          <c:extLst>
            <c:ext xmlns:c16="http://schemas.microsoft.com/office/drawing/2014/chart" uri="{C3380CC4-5D6E-409C-BE32-E72D297353CC}">
              <c16:uniqueId val="{00000003-C877-43A9-BFF0-24BC70045700}"/>
            </c:ext>
          </c:extLst>
        </c:ser>
        <c:ser>
          <c:idx val="4"/>
          <c:order val="4"/>
          <c:tx>
            <c:strRef>
              <c:f>Graphs!$B$58</c:f>
              <c:strCache>
                <c:ptCount val="1"/>
                <c:pt idx="0">
                  <c:v>1</c:v>
                </c:pt>
              </c:strCache>
            </c:strRef>
          </c:tx>
          <c:spPr>
            <a:solidFill>
              <a:schemeClr val="accent5"/>
            </a:solidFill>
            <a:ln>
              <a:noFill/>
            </a:ln>
            <a:effectLst/>
          </c:spPr>
          <c:invertIfNegative val="0"/>
          <c:cat>
            <c:strRef>
              <c:f>Graphs!$C$53:$H$53</c:f>
              <c:strCache>
                <c:ptCount val="6"/>
                <c:pt idx="0">
                  <c:v>Q. 24</c:v>
                </c:pt>
                <c:pt idx="1">
                  <c:v>Q. 25</c:v>
                </c:pt>
                <c:pt idx="2">
                  <c:v>Q. 26</c:v>
                </c:pt>
                <c:pt idx="3">
                  <c:v>Q. 27</c:v>
                </c:pt>
                <c:pt idx="4">
                  <c:v>Q. 28</c:v>
                </c:pt>
                <c:pt idx="5">
                  <c:v>Q. 29</c:v>
                </c:pt>
              </c:strCache>
            </c:strRef>
          </c:cat>
          <c:val>
            <c:numRef>
              <c:f>Graphs!$C$58:$H$58</c:f>
              <c:numCache>
                <c:formatCode>0.0</c:formatCode>
                <c:ptCount val="6"/>
                <c:pt idx="0">
                  <c:v>2.9411764705882351</c:v>
                </c:pt>
                <c:pt idx="1">
                  <c:v>5.8823529411764701</c:v>
                </c:pt>
                <c:pt idx="2">
                  <c:v>5.8823529411764701</c:v>
                </c:pt>
                <c:pt idx="3">
                  <c:v>2.9411764705882351</c:v>
                </c:pt>
                <c:pt idx="4">
                  <c:v>2.9411764705882351</c:v>
                </c:pt>
                <c:pt idx="5">
                  <c:v>2.9411764705882351</c:v>
                </c:pt>
              </c:numCache>
            </c:numRef>
          </c:val>
          <c:extLst>
            <c:ext xmlns:c16="http://schemas.microsoft.com/office/drawing/2014/chart" uri="{C3380CC4-5D6E-409C-BE32-E72D297353CC}">
              <c16:uniqueId val="{00000004-C877-43A9-BFF0-24BC70045700}"/>
            </c:ext>
          </c:extLst>
        </c:ser>
        <c:dLbls>
          <c:showLegendKey val="0"/>
          <c:showVal val="0"/>
          <c:showCatName val="0"/>
          <c:showSerName val="0"/>
          <c:showPercent val="0"/>
          <c:showBubbleSize val="0"/>
        </c:dLbls>
        <c:gapWidth val="219"/>
        <c:overlap val="-27"/>
        <c:axId val="-593207024"/>
        <c:axId val="-593215728"/>
      </c:barChart>
      <c:catAx>
        <c:axId val="-59320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15728"/>
        <c:crosses val="autoZero"/>
        <c:auto val="1"/>
        <c:lblAlgn val="ctr"/>
        <c:lblOffset val="100"/>
        <c:noMultiLvlLbl val="0"/>
      </c:catAx>
      <c:valAx>
        <c:axId val="-59321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207024"/>
        <c:crosses val="autoZero"/>
        <c:crossBetween val="between"/>
      </c:valAx>
      <c:spPr>
        <a:noFill/>
        <a:ln>
          <a:noFill/>
        </a:ln>
        <a:effectLst/>
      </c:spPr>
    </c:plotArea>
    <c:legend>
      <c:legendPos val="b"/>
      <c:layout>
        <c:manualLayout>
          <c:xMode val="edge"/>
          <c:yMode val="edge"/>
          <c:x val="0.35487347100480365"/>
          <c:y val="0.90262803688000537"/>
          <c:w val="0.26509582528599018"/>
          <c:h val="9.73719631199946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30480</xdr:colOff>
      <xdr:row>8</xdr:row>
      <xdr:rowOff>45720</xdr:rowOff>
    </xdr:from>
    <xdr:to>
      <xdr:col>2</xdr:col>
      <xdr:colOff>4198620</xdr:colOff>
      <xdr:row>11</xdr:row>
      <xdr:rowOff>952500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xdr:colOff>
      <xdr:row>14</xdr:row>
      <xdr:rowOff>38100</xdr:rowOff>
    </xdr:from>
    <xdr:to>
      <xdr:col>2</xdr:col>
      <xdr:colOff>4198620</xdr:colOff>
      <xdr:row>16</xdr:row>
      <xdr:rowOff>731520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19</xdr:row>
      <xdr:rowOff>60960</xdr:rowOff>
    </xdr:from>
    <xdr:to>
      <xdr:col>2</xdr:col>
      <xdr:colOff>4168140</xdr:colOff>
      <xdr:row>23</xdr:row>
      <xdr:rowOff>335280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xdr:colOff>
      <xdr:row>26</xdr:row>
      <xdr:rowOff>60960</xdr:rowOff>
    </xdr:from>
    <xdr:to>
      <xdr:col>2</xdr:col>
      <xdr:colOff>4175760</xdr:colOff>
      <xdr:row>29</xdr:row>
      <xdr:rowOff>746760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60960</xdr:colOff>
      <xdr:row>33</xdr:row>
      <xdr:rowOff>53340</xdr:rowOff>
    </xdr:from>
    <xdr:to>
      <xdr:col>2</xdr:col>
      <xdr:colOff>4191000</xdr:colOff>
      <xdr:row>39</xdr:row>
      <xdr:rowOff>746760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76200</xdr:colOff>
      <xdr:row>44</xdr:row>
      <xdr:rowOff>53340</xdr:rowOff>
    </xdr:from>
    <xdr:to>
      <xdr:col>2</xdr:col>
      <xdr:colOff>4114800</xdr:colOff>
      <xdr:row>50</xdr:row>
      <xdr:rowOff>152400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220980</xdr:colOff>
      <xdr:row>0</xdr:row>
      <xdr:rowOff>68579</xdr:rowOff>
    </xdr:from>
    <xdr:to>
      <xdr:col>1</xdr:col>
      <xdr:colOff>594360</xdr:colOff>
      <xdr:row>4</xdr:row>
      <xdr:rowOff>40638</xdr:rowOff>
    </xdr:to>
    <xdr:pic>
      <xdr:nvPicPr>
        <xdr:cNvPr id="8" name="Picture 7" descr="Rajshahi University of Engineering &amp; Technology - Wikipedia">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20980" y="68579"/>
          <a:ext cx="662940" cy="764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69"/>
  <sheetViews>
    <sheetView tabSelected="1" workbookViewId="0">
      <selection activeCell="B4" sqref="B4"/>
    </sheetView>
  </sheetViews>
  <sheetFormatPr defaultColWidth="12.6640625" defaultRowHeight="15.75" customHeight="1" x14ac:dyDescent="0.25"/>
  <cols>
    <col min="1" max="1" width="4.88671875" style="3" customWidth="1"/>
    <col min="2" max="2" width="10.6640625" style="1" customWidth="1"/>
    <col min="3" max="3" width="10.77734375" style="1" customWidth="1"/>
    <col min="4" max="4" width="10.5546875" style="1" customWidth="1"/>
    <col min="5" max="5" width="10.33203125" style="1" customWidth="1"/>
    <col min="6" max="6" width="10.44140625" style="1" customWidth="1"/>
    <col min="7" max="7" width="10.21875" style="1" customWidth="1"/>
    <col min="8" max="8" width="9.77734375" style="1" customWidth="1"/>
    <col min="9" max="9" width="11" style="1" customWidth="1"/>
    <col min="10" max="10" width="10.44140625" style="1" customWidth="1"/>
    <col min="11" max="11" width="10.88671875" style="1" customWidth="1"/>
    <col min="12" max="12" width="10.5546875" style="1" customWidth="1"/>
    <col min="13" max="13" width="9.77734375" style="1" customWidth="1"/>
    <col min="14" max="14" width="11.44140625" style="1" customWidth="1"/>
    <col min="15" max="15" width="10.5546875" style="1" customWidth="1"/>
    <col min="16" max="16" width="11.88671875" style="1" customWidth="1"/>
    <col min="17" max="17" width="10" style="1" customWidth="1"/>
    <col min="18" max="18" width="10.77734375" style="1" customWidth="1"/>
    <col min="19" max="19" width="10.21875" style="1" customWidth="1"/>
    <col min="20" max="20" width="10.6640625" style="1" customWidth="1"/>
    <col min="21" max="21" width="11.6640625" style="1" customWidth="1"/>
    <col min="22" max="22" width="10.44140625" style="1" customWidth="1"/>
    <col min="23" max="23" width="10" style="1" customWidth="1"/>
    <col min="24" max="24" width="9.6640625" style="1" customWidth="1"/>
    <col min="25" max="25" width="7.21875" style="1" customWidth="1"/>
    <col min="26" max="26" width="6.77734375" style="1" customWidth="1"/>
    <col min="27" max="27" width="7.33203125" style="1" customWidth="1"/>
    <col min="28" max="28" width="8.6640625" style="1" customWidth="1"/>
    <col min="29" max="29" width="8.109375" style="1" customWidth="1"/>
    <col min="30" max="30" width="6.77734375" style="1" customWidth="1"/>
    <col min="31" max="31" width="9.5546875" style="1" customWidth="1"/>
    <col min="32" max="32" width="46.5546875" style="1" customWidth="1"/>
    <col min="33" max="38" width="18.88671875" style="1" customWidth="1"/>
    <col min="39" max="16384" width="12.6640625" style="1"/>
  </cols>
  <sheetData>
    <row r="1" spans="1:32" s="14" customFormat="1" ht="10.199999999999999" x14ac:dyDescent="0.25">
      <c r="A1" s="30"/>
      <c r="B1" s="48" t="s">
        <v>29</v>
      </c>
      <c r="C1" s="48"/>
      <c r="D1" s="48"/>
      <c r="E1" s="49" t="s">
        <v>33</v>
      </c>
      <c r="F1" s="48" t="s">
        <v>35</v>
      </c>
      <c r="G1" s="48"/>
      <c r="H1" s="49" t="s">
        <v>37</v>
      </c>
      <c r="I1" s="48" t="s">
        <v>46</v>
      </c>
      <c r="J1" s="48"/>
      <c r="K1" s="48"/>
      <c r="L1" s="48"/>
      <c r="M1" s="49" t="s">
        <v>51</v>
      </c>
      <c r="N1" s="48" t="s">
        <v>52</v>
      </c>
      <c r="O1" s="48"/>
      <c r="P1" s="48"/>
      <c r="Q1" s="49" t="s">
        <v>56</v>
      </c>
      <c r="R1" s="48" t="s">
        <v>58</v>
      </c>
      <c r="S1" s="48"/>
      <c r="T1" s="48"/>
      <c r="U1" s="48"/>
      <c r="V1" s="48"/>
      <c r="W1" s="48"/>
      <c r="X1" s="49" t="s">
        <v>64</v>
      </c>
      <c r="Y1" s="48" t="s">
        <v>65</v>
      </c>
      <c r="Z1" s="48"/>
      <c r="AA1" s="48"/>
      <c r="AB1" s="48"/>
      <c r="AC1" s="48"/>
      <c r="AD1" s="48"/>
      <c r="AE1" s="49" t="s">
        <v>72</v>
      </c>
      <c r="AF1" s="49" t="s">
        <v>73</v>
      </c>
    </row>
    <row r="2" spans="1:32" s="13" customFormat="1" ht="91.8" x14ac:dyDescent="0.25">
      <c r="A2" s="31" t="s">
        <v>5</v>
      </c>
      <c r="B2" s="30" t="s">
        <v>30</v>
      </c>
      <c r="C2" s="30" t="s">
        <v>31</v>
      </c>
      <c r="D2" s="30" t="s">
        <v>32</v>
      </c>
      <c r="E2" s="49"/>
      <c r="F2" s="30" t="s">
        <v>34</v>
      </c>
      <c r="G2" s="30" t="s">
        <v>36</v>
      </c>
      <c r="H2" s="49"/>
      <c r="I2" s="30" t="s">
        <v>50</v>
      </c>
      <c r="J2" s="30" t="s">
        <v>47</v>
      </c>
      <c r="K2" s="30" t="s">
        <v>48</v>
      </c>
      <c r="L2" s="30" t="s">
        <v>49</v>
      </c>
      <c r="M2" s="49"/>
      <c r="N2" s="30" t="s">
        <v>53</v>
      </c>
      <c r="O2" s="30" t="s">
        <v>54</v>
      </c>
      <c r="P2" s="30" t="s">
        <v>55</v>
      </c>
      <c r="Q2" s="49"/>
      <c r="R2" s="30" t="s">
        <v>57</v>
      </c>
      <c r="S2" s="30" t="s">
        <v>59</v>
      </c>
      <c r="T2" s="30" t="s">
        <v>60</v>
      </c>
      <c r="U2" s="30" t="s">
        <v>61</v>
      </c>
      <c r="V2" s="30" t="s">
        <v>62</v>
      </c>
      <c r="W2" s="30" t="s">
        <v>63</v>
      </c>
      <c r="X2" s="49"/>
      <c r="Y2" s="30" t="s">
        <v>66</v>
      </c>
      <c r="Z2" s="30" t="s">
        <v>67</v>
      </c>
      <c r="AA2" s="30" t="s">
        <v>68</v>
      </c>
      <c r="AB2" s="30" t="s">
        <v>69</v>
      </c>
      <c r="AC2" s="30" t="s">
        <v>70</v>
      </c>
      <c r="AD2" s="30" t="s">
        <v>71</v>
      </c>
      <c r="AE2" s="49"/>
      <c r="AF2" s="49"/>
    </row>
    <row r="3" spans="1:32" s="2" customFormat="1" ht="13.2" x14ac:dyDescent="0.25">
      <c r="A3" s="32"/>
      <c r="B3" s="33" t="s">
        <v>6</v>
      </c>
      <c r="C3" s="33" t="s">
        <v>7</v>
      </c>
      <c r="D3" s="33" t="s">
        <v>8</v>
      </c>
      <c r="E3" s="33" t="s">
        <v>9</v>
      </c>
      <c r="F3" s="33" t="s">
        <v>10</v>
      </c>
      <c r="G3" s="33" t="s">
        <v>11</v>
      </c>
      <c r="H3" s="33" t="s">
        <v>12</v>
      </c>
      <c r="I3" s="33" t="s">
        <v>13</v>
      </c>
      <c r="J3" s="33" t="s">
        <v>14</v>
      </c>
      <c r="K3" s="33" t="s">
        <v>15</v>
      </c>
      <c r="L3" s="33" t="s">
        <v>16</v>
      </c>
      <c r="M3" s="33" t="s">
        <v>17</v>
      </c>
      <c r="N3" s="33" t="s">
        <v>18</v>
      </c>
      <c r="O3" s="33" t="s">
        <v>19</v>
      </c>
      <c r="P3" s="33" t="s">
        <v>20</v>
      </c>
      <c r="Q3" s="33" t="s">
        <v>21</v>
      </c>
      <c r="R3" s="33" t="s">
        <v>22</v>
      </c>
      <c r="S3" s="33" t="s">
        <v>23</v>
      </c>
      <c r="T3" s="33" t="s">
        <v>24</v>
      </c>
      <c r="U3" s="33" t="s">
        <v>25</v>
      </c>
      <c r="V3" s="33" t="s">
        <v>26</v>
      </c>
      <c r="W3" s="33" t="s">
        <v>27</v>
      </c>
      <c r="X3" s="33" t="s">
        <v>28</v>
      </c>
      <c r="Y3" s="33" t="s">
        <v>38</v>
      </c>
      <c r="Z3" s="33" t="s">
        <v>39</v>
      </c>
      <c r="AA3" s="33" t="s">
        <v>40</v>
      </c>
      <c r="AB3" s="33" t="s">
        <v>41</v>
      </c>
      <c r="AC3" s="33" t="s">
        <v>42</v>
      </c>
      <c r="AD3" s="33" t="s">
        <v>43</v>
      </c>
      <c r="AE3" s="33" t="s">
        <v>44</v>
      </c>
      <c r="AF3" s="33" t="s">
        <v>45</v>
      </c>
    </row>
    <row r="4" spans="1:32" ht="13.2" x14ac:dyDescent="0.25">
      <c r="A4" s="33">
        <v>1</v>
      </c>
      <c r="B4" s="26" t="s">
        <v>2</v>
      </c>
      <c r="C4" s="26" t="s">
        <v>2</v>
      </c>
      <c r="D4" s="26" t="s">
        <v>2</v>
      </c>
      <c r="E4" s="27"/>
      <c r="F4" s="26" t="s">
        <v>2</v>
      </c>
      <c r="G4" s="26" t="s">
        <v>2</v>
      </c>
      <c r="H4" s="27"/>
      <c r="I4" s="26" t="s">
        <v>2</v>
      </c>
      <c r="J4" s="26" t="s">
        <v>2</v>
      </c>
      <c r="K4" s="26" t="s">
        <v>2</v>
      </c>
      <c r="L4" s="26" t="s">
        <v>2</v>
      </c>
      <c r="M4" s="27"/>
      <c r="N4" s="26" t="s">
        <v>2</v>
      </c>
      <c r="O4" s="26" t="s">
        <v>2</v>
      </c>
      <c r="P4" s="26" t="s">
        <v>2</v>
      </c>
      <c r="Q4" s="27"/>
      <c r="R4" s="26" t="s">
        <v>2</v>
      </c>
      <c r="S4" s="26" t="s">
        <v>2</v>
      </c>
      <c r="T4" s="26" t="s">
        <v>2</v>
      </c>
      <c r="U4" s="26" t="s">
        <v>2</v>
      </c>
      <c r="V4" s="26" t="s">
        <v>2</v>
      </c>
      <c r="W4" s="26" t="s">
        <v>2</v>
      </c>
      <c r="X4" s="27"/>
      <c r="Y4" s="26">
        <v>5</v>
      </c>
      <c r="Z4" s="26">
        <v>5</v>
      </c>
      <c r="AA4" s="26">
        <v>5</v>
      </c>
      <c r="AB4" s="26">
        <v>5</v>
      </c>
      <c r="AC4" s="26">
        <v>5</v>
      </c>
      <c r="AD4" s="26">
        <v>5</v>
      </c>
      <c r="AE4" s="27"/>
      <c r="AF4" s="47" t="s">
        <v>111</v>
      </c>
    </row>
    <row r="5" spans="1:32" ht="71.400000000000006" x14ac:dyDescent="0.25">
      <c r="A5" s="33">
        <v>2</v>
      </c>
      <c r="B5" s="26" t="s">
        <v>0</v>
      </c>
      <c r="C5" s="26" t="s">
        <v>0</v>
      </c>
      <c r="D5" s="26" t="s">
        <v>3</v>
      </c>
      <c r="E5" s="27"/>
      <c r="F5" s="26" t="s">
        <v>0</v>
      </c>
      <c r="G5" s="26" t="s">
        <v>3</v>
      </c>
      <c r="H5" s="27"/>
      <c r="I5" s="26" t="s">
        <v>3</v>
      </c>
      <c r="J5" s="26" t="s">
        <v>3</v>
      </c>
      <c r="K5" s="26" t="s">
        <v>0</v>
      </c>
      <c r="L5" s="26" t="s">
        <v>0</v>
      </c>
      <c r="M5" s="27" t="s">
        <v>112</v>
      </c>
      <c r="N5" s="26" t="s">
        <v>0</v>
      </c>
      <c r="O5" s="26" t="s">
        <v>3</v>
      </c>
      <c r="P5" s="26" t="s">
        <v>3</v>
      </c>
      <c r="Q5" s="27"/>
      <c r="R5" s="26" t="s">
        <v>0</v>
      </c>
      <c r="S5" s="26" t="s">
        <v>0</v>
      </c>
      <c r="T5" s="26" t="s">
        <v>0</v>
      </c>
      <c r="U5" s="26" t="s">
        <v>0</v>
      </c>
      <c r="V5" s="26" t="s">
        <v>0</v>
      </c>
      <c r="W5" s="26" t="s">
        <v>0</v>
      </c>
      <c r="X5" s="27"/>
      <c r="Y5" s="26">
        <v>4</v>
      </c>
      <c r="Z5" s="26">
        <v>4</v>
      </c>
      <c r="AA5" s="26">
        <v>4</v>
      </c>
      <c r="AB5" s="26">
        <v>4</v>
      </c>
      <c r="AC5" s="26">
        <v>4</v>
      </c>
      <c r="AD5" s="26">
        <v>4</v>
      </c>
      <c r="AE5" s="27"/>
      <c r="AF5" s="47" t="s">
        <v>113</v>
      </c>
    </row>
    <row r="6" spans="1:32" ht="20.399999999999999" x14ac:dyDescent="0.25">
      <c r="A6" s="33">
        <v>3</v>
      </c>
      <c r="B6" s="26" t="s">
        <v>4</v>
      </c>
      <c r="C6" s="26" t="s">
        <v>1</v>
      </c>
      <c r="D6" s="26" t="s">
        <v>3</v>
      </c>
      <c r="E6" s="27"/>
      <c r="F6" s="26" t="s">
        <v>0</v>
      </c>
      <c r="G6" s="26" t="s">
        <v>1</v>
      </c>
      <c r="H6" s="27"/>
      <c r="I6" s="26" t="s">
        <v>1</v>
      </c>
      <c r="J6" s="26" t="s">
        <v>1</v>
      </c>
      <c r="K6" s="26" t="s">
        <v>4</v>
      </c>
      <c r="L6" s="26" t="s">
        <v>1</v>
      </c>
      <c r="M6" s="27"/>
      <c r="N6" s="26" t="s">
        <v>4</v>
      </c>
      <c r="O6" s="26" t="s">
        <v>3</v>
      </c>
      <c r="P6" s="26" t="s">
        <v>1</v>
      </c>
      <c r="Q6" s="27"/>
      <c r="R6" s="26" t="s">
        <v>1</v>
      </c>
      <c r="S6" s="26" t="s">
        <v>4</v>
      </c>
      <c r="T6" s="26" t="s">
        <v>3</v>
      </c>
      <c r="U6" s="26" t="s">
        <v>3</v>
      </c>
      <c r="V6" s="26" t="s">
        <v>2</v>
      </c>
      <c r="W6" s="26" t="s">
        <v>3</v>
      </c>
      <c r="X6" s="27"/>
      <c r="Y6" s="26">
        <v>5</v>
      </c>
      <c r="Z6" s="26">
        <v>1</v>
      </c>
      <c r="AA6" s="26">
        <v>1</v>
      </c>
      <c r="AB6" s="26">
        <v>2</v>
      </c>
      <c r="AC6" s="26">
        <v>3</v>
      </c>
      <c r="AD6" s="26">
        <v>2</v>
      </c>
      <c r="AE6" s="27"/>
      <c r="AF6" s="47" t="s">
        <v>114</v>
      </c>
    </row>
    <row r="7" spans="1:32" ht="13.2" x14ac:dyDescent="0.25">
      <c r="A7" s="33">
        <v>4</v>
      </c>
      <c r="B7" s="26" t="s">
        <v>2</v>
      </c>
      <c r="C7" s="26" t="s">
        <v>2</v>
      </c>
      <c r="D7" s="26" t="s">
        <v>2</v>
      </c>
      <c r="E7" s="26"/>
      <c r="F7" s="26" t="s">
        <v>2</v>
      </c>
      <c r="G7" s="26" t="s">
        <v>2</v>
      </c>
      <c r="H7" s="27"/>
      <c r="I7" s="26" t="s">
        <v>2</v>
      </c>
      <c r="J7" s="26" t="s">
        <v>2</v>
      </c>
      <c r="K7" s="26" t="s">
        <v>2</v>
      </c>
      <c r="L7" s="26" t="s">
        <v>2</v>
      </c>
      <c r="M7" s="27"/>
      <c r="N7" s="26" t="s">
        <v>2</v>
      </c>
      <c r="O7" s="26" t="s">
        <v>2</v>
      </c>
      <c r="P7" s="26" t="s">
        <v>2</v>
      </c>
      <c r="Q7" s="27"/>
      <c r="R7" s="26" t="s">
        <v>2</v>
      </c>
      <c r="S7" s="26" t="s">
        <v>2</v>
      </c>
      <c r="T7" s="26" t="s">
        <v>2</v>
      </c>
      <c r="U7" s="26" t="s">
        <v>2</v>
      </c>
      <c r="V7" s="26" t="s">
        <v>2</v>
      </c>
      <c r="W7" s="26" t="s">
        <v>2</v>
      </c>
      <c r="X7" s="27"/>
      <c r="Y7" s="26">
        <v>5</v>
      </c>
      <c r="Z7" s="26">
        <v>5</v>
      </c>
      <c r="AA7" s="26">
        <v>5</v>
      </c>
      <c r="AB7" s="26">
        <v>5</v>
      </c>
      <c r="AC7" s="26">
        <v>5</v>
      </c>
      <c r="AD7" s="26">
        <v>5</v>
      </c>
      <c r="AE7" s="27"/>
      <c r="AF7" s="47" t="s">
        <v>115</v>
      </c>
    </row>
    <row r="8" spans="1:32" ht="13.2" x14ac:dyDescent="0.25">
      <c r="A8" s="33">
        <v>5</v>
      </c>
      <c r="B8" s="26" t="s">
        <v>2</v>
      </c>
      <c r="C8" s="26" t="s">
        <v>2</v>
      </c>
      <c r="D8" s="26" t="s">
        <v>2</v>
      </c>
      <c r="E8" s="26"/>
      <c r="F8" s="26" t="s">
        <v>2</v>
      </c>
      <c r="G8" s="26" t="s">
        <v>2</v>
      </c>
      <c r="H8" s="26"/>
      <c r="I8" s="26" t="s">
        <v>2</v>
      </c>
      <c r="J8" s="26" t="s">
        <v>2</v>
      </c>
      <c r="K8" s="26" t="s">
        <v>2</v>
      </c>
      <c r="L8" s="26" t="s">
        <v>2</v>
      </c>
      <c r="M8" s="26"/>
      <c r="N8" s="26" t="s">
        <v>2</v>
      </c>
      <c r="O8" s="26" t="s">
        <v>2</v>
      </c>
      <c r="P8" s="26" t="s">
        <v>2</v>
      </c>
      <c r="Q8" s="26"/>
      <c r="R8" s="26" t="s">
        <v>2</v>
      </c>
      <c r="S8" s="26" t="s">
        <v>2</v>
      </c>
      <c r="T8" s="26" t="s">
        <v>2</v>
      </c>
      <c r="U8" s="26" t="s">
        <v>2</v>
      </c>
      <c r="V8" s="26" t="s">
        <v>2</v>
      </c>
      <c r="W8" s="26" t="s">
        <v>2</v>
      </c>
      <c r="X8" s="26"/>
      <c r="Y8" s="26">
        <v>5</v>
      </c>
      <c r="Z8" s="26">
        <v>5</v>
      </c>
      <c r="AA8" s="26">
        <v>5</v>
      </c>
      <c r="AB8" s="26">
        <v>5</v>
      </c>
      <c r="AC8" s="26">
        <v>5</v>
      </c>
      <c r="AD8" s="26">
        <v>5</v>
      </c>
      <c r="AE8" s="26"/>
      <c r="AF8" s="47" t="s">
        <v>116</v>
      </c>
    </row>
    <row r="9" spans="1:32" ht="13.2" x14ac:dyDescent="0.25">
      <c r="A9" s="33">
        <v>6</v>
      </c>
      <c r="B9" s="26" t="s">
        <v>0</v>
      </c>
      <c r="C9" s="26" t="s">
        <v>0</v>
      </c>
      <c r="D9" s="26" t="s">
        <v>0</v>
      </c>
      <c r="E9" s="27"/>
      <c r="F9" s="26" t="s">
        <v>0</v>
      </c>
      <c r="G9" s="26" t="s">
        <v>0</v>
      </c>
      <c r="H9" s="27"/>
      <c r="I9" s="26" t="s">
        <v>0</v>
      </c>
      <c r="J9" s="26" t="s">
        <v>0</v>
      </c>
      <c r="K9" s="26" t="s">
        <v>0</v>
      </c>
      <c r="L9" s="26" t="s">
        <v>0</v>
      </c>
      <c r="M9" s="27"/>
      <c r="N9" s="26" t="s">
        <v>0</v>
      </c>
      <c r="O9" s="26" t="s">
        <v>0</v>
      </c>
      <c r="P9" s="26" t="s">
        <v>3</v>
      </c>
      <c r="Q9" s="27"/>
      <c r="R9" s="26" t="s">
        <v>0</v>
      </c>
      <c r="S9" s="26" t="s">
        <v>0</v>
      </c>
      <c r="T9" s="26" t="s">
        <v>0</v>
      </c>
      <c r="U9" s="26" t="s">
        <v>0</v>
      </c>
      <c r="V9" s="26" t="s">
        <v>0</v>
      </c>
      <c r="W9" s="26" t="s">
        <v>0</v>
      </c>
      <c r="X9" s="27"/>
      <c r="Y9" s="26">
        <v>5</v>
      </c>
      <c r="Z9" s="26">
        <v>5</v>
      </c>
      <c r="AA9" s="26">
        <v>5</v>
      </c>
      <c r="AB9" s="26">
        <v>5</v>
      </c>
      <c r="AC9" s="26">
        <v>5</v>
      </c>
      <c r="AD9" s="26">
        <v>5</v>
      </c>
      <c r="AE9" s="27"/>
      <c r="AF9" s="47" t="s">
        <v>117</v>
      </c>
    </row>
    <row r="10" spans="1:32" ht="13.2" x14ac:dyDescent="0.25">
      <c r="A10" s="33">
        <v>7</v>
      </c>
      <c r="B10" s="26" t="s">
        <v>0</v>
      </c>
      <c r="C10" s="26" t="s">
        <v>0</v>
      </c>
      <c r="D10" s="26" t="s">
        <v>0</v>
      </c>
      <c r="E10" s="27"/>
      <c r="F10" s="26" t="s">
        <v>2</v>
      </c>
      <c r="G10" s="26" t="s">
        <v>2</v>
      </c>
      <c r="H10" s="27"/>
      <c r="I10" s="26" t="s">
        <v>0</v>
      </c>
      <c r="J10" s="26" t="s">
        <v>0</v>
      </c>
      <c r="K10" s="26" t="s">
        <v>0</v>
      </c>
      <c r="L10" s="26" t="s">
        <v>0</v>
      </c>
      <c r="M10" s="27"/>
      <c r="N10" s="26" t="s">
        <v>0</v>
      </c>
      <c r="O10" s="26" t="s">
        <v>0</v>
      </c>
      <c r="P10" s="26" t="s">
        <v>0</v>
      </c>
      <c r="Q10" s="27"/>
      <c r="R10" s="26" t="s">
        <v>0</v>
      </c>
      <c r="S10" s="26" t="s">
        <v>0</v>
      </c>
      <c r="T10" s="26" t="s">
        <v>0</v>
      </c>
      <c r="U10" s="26" t="s">
        <v>0</v>
      </c>
      <c r="V10" s="26" t="s">
        <v>0</v>
      </c>
      <c r="W10" s="26" t="s">
        <v>0</v>
      </c>
      <c r="X10" s="27"/>
      <c r="Y10" s="26">
        <v>1</v>
      </c>
      <c r="Z10" s="26">
        <v>1</v>
      </c>
      <c r="AA10" s="26">
        <v>1</v>
      </c>
      <c r="AB10" s="26">
        <v>1</v>
      </c>
      <c r="AC10" s="26">
        <v>1</v>
      </c>
      <c r="AD10" s="26">
        <v>1</v>
      </c>
      <c r="AE10" s="27"/>
      <c r="AF10" s="47" t="s">
        <v>118</v>
      </c>
    </row>
    <row r="11" spans="1:32" ht="13.2" x14ac:dyDescent="0.25">
      <c r="A11" s="33">
        <v>8</v>
      </c>
      <c r="B11" s="26" t="s">
        <v>2</v>
      </c>
      <c r="C11" s="26" t="s">
        <v>2</v>
      </c>
      <c r="D11" s="26" t="s">
        <v>2</v>
      </c>
      <c r="E11" s="27"/>
      <c r="F11" s="26" t="s">
        <v>2</v>
      </c>
      <c r="G11" s="26" t="s">
        <v>2</v>
      </c>
      <c r="H11" s="27"/>
      <c r="I11" s="26" t="s">
        <v>2</v>
      </c>
      <c r="J11" s="26" t="s">
        <v>2</v>
      </c>
      <c r="K11" s="26" t="s">
        <v>2</v>
      </c>
      <c r="L11" s="26" t="s">
        <v>2</v>
      </c>
      <c r="M11" s="27"/>
      <c r="N11" s="26" t="s">
        <v>2</v>
      </c>
      <c r="O11" s="26" t="s">
        <v>2</v>
      </c>
      <c r="P11" s="26" t="s">
        <v>2</v>
      </c>
      <c r="Q11" s="27"/>
      <c r="R11" s="26" t="s">
        <v>2</v>
      </c>
      <c r="S11" s="26" t="s">
        <v>2</v>
      </c>
      <c r="T11" s="26" t="s">
        <v>2</v>
      </c>
      <c r="U11" s="26" t="s">
        <v>2</v>
      </c>
      <c r="V11" s="26" t="s">
        <v>2</v>
      </c>
      <c r="W11" s="26" t="s">
        <v>2</v>
      </c>
      <c r="X11" s="27"/>
      <c r="Y11" s="26">
        <v>5</v>
      </c>
      <c r="Z11" s="26">
        <v>5</v>
      </c>
      <c r="AA11" s="26">
        <v>5</v>
      </c>
      <c r="AB11" s="26">
        <v>5</v>
      </c>
      <c r="AC11" s="26">
        <v>5</v>
      </c>
      <c r="AD11" s="26">
        <v>5</v>
      </c>
      <c r="AE11" s="27"/>
      <c r="AF11" s="47" t="s">
        <v>119</v>
      </c>
    </row>
    <row r="12" spans="1:32" ht="13.2" x14ac:dyDescent="0.25">
      <c r="A12" s="33">
        <v>9</v>
      </c>
      <c r="B12" s="26" t="s">
        <v>2</v>
      </c>
      <c r="C12" s="26" t="s">
        <v>1</v>
      </c>
      <c r="D12" s="26" t="s">
        <v>1</v>
      </c>
      <c r="E12" s="27"/>
      <c r="F12" s="26" t="s">
        <v>0</v>
      </c>
      <c r="G12" s="26" t="s">
        <v>2</v>
      </c>
      <c r="H12" s="27"/>
      <c r="I12" s="26" t="s">
        <v>2</v>
      </c>
      <c r="J12" s="26" t="s">
        <v>2</v>
      </c>
      <c r="K12" s="26" t="s">
        <v>2</v>
      </c>
      <c r="L12" s="26" t="s">
        <v>2</v>
      </c>
      <c r="M12" s="27"/>
      <c r="N12" s="26" t="s">
        <v>2</v>
      </c>
      <c r="O12" s="26" t="s">
        <v>2</v>
      </c>
      <c r="P12" s="26" t="s">
        <v>2</v>
      </c>
      <c r="Q12" s="27"/>
      <c r="R12" s="26" t="s">
        <v>2</v>
      </c>
      <c r="S12" s="26" t="s">
        <v>2</v>
      </c>
      <c r="T12" s="26" t="s">
        <v>2</v>
      </c>
      <c r="U12" s="26" t="s">
        <v>2</v>
      </c>
      <c r="V12" s="26" t="s">
        <v>2</v>
      </c>
      <c r="W12" s="26" t="s">
        <v>2</v>
      </c>
      <c r="X12" s="27"/>
      <c r="Y12" s="26">
        <v>5</v>
      </c>
      <c r="Z12" s="26">
        <v>5</v>
      </c>
      <c r="AA12" s="26">
        <v>3</v>
      </c>
      <c r="AB12" s="26">
        <v>5</v>
      </c>
      <c r="AC12" s="26">
        <v>5</v>
      </c>
      <c r="AD12" s="26">
        <v>4</v>
      </c>
      <c r="AE12" s="27"/>
      <c r="AF12" s="47" t="s">
        <v>120</v>
      </c>
    </row>
    <row r="13" spans="1:32" ht="13.2" x14ac:dyDescent="0.25">
      <c r="A13" s="33">
        <v>10</v>
      </c>
      <c r="B13" s="26" t="s">
        <v>2</v>
      </c>
      <c r="C13" s="26" t="s">
        <v>2</v>
      </c>
      <c r="D13" s="26" t="s">
        <v>2</v>
      </c>
      <c r="E13" s="27"/>
      <c r="F13" s="26" t="s">
        <v>2</v>
      </c>
      <c r="G13" s="26" t="s">
        <v>2</v>
      </c>
      <c r="H13" s="27"/>
      <c r="I13" s="26" t="s">
        <v>2</v>
      </c>
      <c r="J13" s="26" t="s">
        <v>2</v>
      </c>
      <c r="K13" s="26" t="s">
        <v>2</v>
      </c>
      <c r="L13" s="26" t="s">
        <v>2</v>
      </c>
      <c r="M13" s="27"/>
      <c r="N13" s="26" t="s">
        <v>2</v>
      </c>
      <c r="O13" s="26" t="s">
        <v>3</v>
      </c>
      <c r="P13" s="26" t="s">
        <v>2</v>
      </c>
      <c r="Q13" s="27"/>
      <c r="R13" s="26" t="s">
        <v>2</v>
      </c>
      <c r="S13" s="26" t="s">
        <v>0</v>
      </c>
      <c r="T13" s="26" t="s">
        <v>0</v>
      </c>
      <c r="U13" s="26" t="s">
        <v>0</v>
      </c>
      <c r="V13" s="26" t="s">
        <v>2</v>
      </c>
      <c r="W13" s="26" t="s">
        <v>2</v>
      </c>
      <c r="X13" s="27"/>
      <c r="Y13" s="26">
        <v>4</v>
      </c>
      <c r="Z13" s="26">
        <v>4</v>
      </c>
      <c r="AA13" s="26">
        <v>5</v>
      </c>
      <c r="AB13" s="26">
        <v>5</v>
      </c>
      <c r="AC13" s="26">
        <v>4</v>
      </c>
      <c r="AD13" s="26">
        <v>4</v>
      </c>
      <c r="AE13" s="27"/>
      <c r="AF13" s="47" t="s">
        <v>121</v>
      </c>
    </row>
    <row r="14" spans="1:32" ht="13.2" x14ac:dyDescent="0.25">
      <c r="A14" s="33">
        <v>11</v>
      </c>
      <c r="B14" s="26" t="s">
        <v>2</v>
      </c>
      <c r="C14" s="26" t="s">
        <v>2</v>
      </c>
      <c r="D14" s="26" t="s">
        <v>2</v>
      </c>
      <c r="E14" s="27" t="s">
        <v>122</v>
      </c>
      <c r="F14" s="26" t="s">
        <v>2</v>
      </c>
      <c r="G14" s="26" t="s">
        <v>2</v>
      </c>
      <c r="H14" s="27" t="s">
        <v>122</v>
      </c>
      <c r="I14" s="26" t="s">
        <v>2</v>
      </c>
      <c r="J14" s="26" t="s">
        <v>2</v>
      </c>
      <c r="K14" s="26" t="s">
        <v>2</v>
      </c>
      <c r="L14" s="26" t="s">
        <v>2</v>
      </c>
      <c r="M14" s="27" t="s">
        <v>122</v>
      </c>
      <c r="N14" s="26" t="s">
        <v>2</v>
      </c>
      <c r="O14" s="26" t="s">
        <v>2</v>
      </c>
      <c r="P14" s="26" t="s">
        <v>2</v>
      </c>
      <c r="Q14" s="27" t="s">
        <v>122</v>
      </c>
      <c r="R14" s="26" t="s">
        <v>2</v>
      </c>
      <c r="S14" s="26" t="s">
        <v>2</v>
      </c>
      <c r="T14" s="26" t="s">
        <v>2</v>
      </c>
      <c r="U14" s="26" t="s">
        <v>2</v>
      </c>
      <c r="V14" s="26" t="s">
        <v>2</v>
      </c>
      <c r="W14" s="26" t="s">
        <v>2</v>
      </c>
      <c r="X14" s="26" t="s">
        <v>122</v>
      </c>
      <c r="Y14" s="26">
        <v>5</v>
      </c>
      <c r="Z14" s="26">
        <v>5</v>
      </c>
      <c r="AA14" s="26">
        <v>5</v>
      </c>
      <c r="AB14" s="26">
        <v>5</v>
      </c>
      <c r="AC14" s="26">
        <v>5</v>
      </c>
      <c r="AD14" s="26">
        <v>5</v>
      </c>
      <c r="AE14" s="27" t="s">
        <v>122</v>
      </c>
      <c r="AF14" s="47" t="s">
        <v>123</v>
      </c>
    </row>
    <row r="15" spans="1:32" ht="13.2" x14ac:dyDescent="0.25">
      <c r="A15" s="33">
        <v>12</v>
      </c>
      <c r="B15" s="26" t="s">
        <v>2</v>
      </c>
      <c r="C15" s="26" t="s">
        <v>0</v>
      </c>
      <c r="D15" s="26" t="s">
        <v>0</v>
      </c>
      <c r="E15" s="27"/>
      <c r="F15" s="26" t="s">
        <v>0</v>
      </c>
      <c r="G15" s="26" t="s">
        <v>0</v>
      </c>
      <c r="H15" s="27"/>
      <c r="I15" s="26" t="s">
        <v>0</v>
      </c>
      <c r="J15" s="26" t="s">
        <v>0</v>
      </c>
      <c r="K15" s="26" t="s">
        <v>0</v>
      </c>
      <c r="L15" s="26" t="s">
        <v>0</v>
      </c>
      <c r="M15" s="27"/>
      <c r="N15" s="26" t="s">
        <v>0</v>
      </c>
      <c r="O15" s="26" t="s">
        <v>0</v>
      </c>
      <c r="P15" s="26" t="s">
        <v>0</v>
      </c>
      <c r="Q15" s="27"/>
      <c r="R15" s="26" t="s">
        <v>0</v>
      </c>
      <c r="S15" s="26" t="s">
        <v>0</v>
      </c>
      <c r="T15" s="26" t="s">
        <v>0</v>
      </c>
      <c r="U15" s="26" t="s">
        <v>0</v>
      </c>
      <c r="V15" s="26" t="s">
        <v>0</v>
      </c>
      <c r="W15" s="26" t="s">
        <v>0</v>
      </c>
      <c r="X15" s="27"/>
      <c r="Y15" s="26">
        <v>4</v>
      </c>
      <c r="Z15" s="26">
        <v>5</v>
      </c>
      <c r="AA15" s="26">
        <v>4</v>
      </c>
      <c r="AB15" s="26">
        <v>5</v>
      </c>
      <c r="AC15" s="26">
        <v>4</v>
      </c>
      <c r="AD15" s="26">
        <v>4</v>
      </c>
      <c r="AE15" s="27"/>
      <c r="AF15" s="47" t="s">
        <v>124</v>
      </c>
    </row>
    <row r="16" spans="1:32" ht="13.2" x14ac:dyDescent="0.25">
      <c r="A16" s="33">
        <v>13</v>
      </c>
      <c r="B16" s="26" t="s">
        <v>2</v>
      </c>
      <c r="C16" s="26" t="s">
        <v>2</v>
      </c>
      <c r="D16" s="26" t="s">
        <v>2</v>
      </c>
      <c r="E16" s="27"/>
      <c r="F16" s="26" t="s">
        <v>2</v>
      </c>
      <c r="G16" s="26" t="s">
        <v>2</v>
      </c>
      <c r="H16" s="27"/>
      <c r="I16" s="26" t="s">
        <v>2</v>
      </c>
      <c r="J16" s="26" t="s">
        <v>2</v>
      </c>
      <c r="K16" s="26" t="s">
        <v>2</v>
      </c>
      <c r="L16" s="26" t="s">
        <v>2</v>
      </c>
      <c r="M16" s="27"/>
      <c r="N16" s="26" t="s">
        <v>2</v>
      </c>
      <c r="O16" s="26" t="s">
        <v>2</v>
      </c>
      <c r="P16" s="26" t="s">
        <v>2</v>
      </c>
      <c r="Q16" s="27"/>
      <c r="R16" s="26" t="s">
        <v>2</v>
      </c>
      <c r="S16" s="26" t="s">
        <v>2</v>
      </c>
      <c r="T16" s="26" t="s">
        <v>2</v>
      </c>
      <c r="U16" s="26" t="s">
        <v>2</v>
      </c>
      <c r="V16" s="26" t="s">
        <v>2</v>
      </c>
      <c r="W16" s="26" t="s">
        <v>2</v>
      </c>
      <c r="X16" s="27"/>
      <c r="Y16" s="26">
        <v>5</v>
      </c>
      <c r="Z16" s="26">
        <v>5</v>
      </c>
      <c r="AA16" s="26">
        <v>5</v>
      </c>
      <c r="AB16" s="26">
        <v>5</v>
      </c>
      <c r="AC16" s="26">
        <v>5</v>
      </c>
      <c r="AD16" s="26">
        <v>5</v>
      </c>
      <c r="AE16" s="27"/>
      <c r="AF16" s="47" t="s">
        <v>125</v>
      </c>
    </row>
    <row r="17" spans="1:32" ht="13.2" x14ac:dyDescent="0.25">
      <c r="A17" s="33">
        <v>14</v>
      </c>
      <c r="B17" s="26" t="s">
        <v>2</v>
      </c>
      <c r="C17" s="26" t="s">
        <v>2</v>
      </c>
      <c r="D17" s="26" t="s">
        <v>2</v>
      </c>
      <c r="E17" s="27"/>
      <c r="F17" s="26" t="s">
        <v>2</v>
      </c>
      <c r="G17" s="26" t="s">
        <v>2</v>
      </c>
      <c r="H17" s="27"/>
      <c r="I17" s="26" t="s">
        <v>2</v>
      </c>
      <c r="J17" s="26" t="s">
        <v>2</v>
      </c>
      <c r="K17" s="26" t="s">
        <v>2</v>
      </c>
      <c r="L17" s="26" t="s">
        <v>2</v>
      </c>
      <c r="M17" s="27"/>
      <c r="N17" s="26" t="s">
        <v>2</v>
      </c>
      <c r="O17" s="26" t="s">
        <v>2</v>
      </c>
      <c r="P17" s="26" t="s">
        <v>2</v>
      </c>
      <c r="Q17" s="27"/>
      <c r="R17" s="26" t="s">
        <v>2</v>
      </c>
      <c r="S17" s="26" t="s">
        <v>2</v>
      </c>
      <c r="T17" s="26" t="s">
        <v>2</v>
      </c>
      <c r="U17" s="26" t="s">
        <v>2</v>
      </c>
      <c r="V17" s="26" t="s">
        <v>2</v>
      </c>
      <c r="W17" s="26" t="s">
        <v>2</v>
      </c>
      <c r="X17" s="27"/>
      <c r="Y17" s="26">
        <v>5</v>
      </c>
      <c r="Z17" s="26">
        <v>5</v>
      </c>
      <c r="AA17" s="26">
        <v>5</v>
      </c>
      <c r="AB17" s="26">
        <v>5</v>
      </c>
      <c r="AC17" s="26">
        <v>5</v>
      </c>
      <c r="AD17" s="26">
        <v>5</v>
      </c>
      <c r="AE17" s="27"/>
      <c r="AF17" s="47" t="s">
        <v>126</v>
      </c>
    </row>
    <row r="18" spans="1:32" ht="13.2" x14ac:dyDescent="0.25">
      <c r="A18" s="33">
        <v>15</v>
      </c>
      <c r="B18" s="26" t="s">
        <v>0</v>
      </c>
      <c r="C18" s="26" t="s">
        <v>0</v>
      </c>
      <c r="D18" s="26" t="s">
        <v>2</v>
      </c>
      <c r="E18" s="27"/>
      <c r="F18" s="26" t="s">
        <v>2</v>
      </c>
      <c r="G18" s="26" t="s">
        <v>0</v>
      </c>
      <c r="H18" s="27"/>
      <c r="I18" s="26" t="s">
        <v>2</v>
      </c>
      <c r="J18" s="26" t="s">
        <v>2</v>
      </c>
      <c r="K18" s="26" t="s">
        <v>2</v>
      </c>
      <c r="L18" s="26" t="s">
        <v>0</v>
      </c>
      <c r="M18" s="27"/>
      <c r="N18" s="26" t="s">
        <v>2</v>
      </c>
      <c r="O18" s="26" t="s">
        <v>2</v>
      </c>
      <c r="P18" s="26" t="s">
        <v>2</v>
      </c>
      <c r="Q18" s="27"/>
      <c r="R18" s="26" t="s">
        <v>2</v>
      </c>
      <c r="S18" s="26" t="s">
        <v>2</v>
      </c>
      <c r="T18" s="26" t="s">
        <v>2</v>
      </c>
      <c r="U18" s="26" t="s">
        <v>2</v>
      </c>
      <c r="V18" s="26" t="s">
        <v>2</v>
      </c>
      <c r="W18" s="26" t="s">
        <v>2</v>
      </c>
      <c r="X18" s="27"/>
      <c r="Y18" s="26">
        <v>5</v>
      </c>
      <c r="Z18" s="26">
        <v>5</v>
      </c>
      <c r="AA18" s="26">
        <v>4</v>
      </c>
      <c r="AB18" s="26">
        <v>5</v>
      </c>
      <c r="AC18" s="26">
        <v>4</v>
      </c>
      <c r="AD18" s="26">
        <v>5</v>
      </c>
      <c r="AE18" s="27"/>
      <c r="AF18" s="47" t="s">
        <v>127</v>
      </c>
    </row>
    <row r="19" spans="1:32" ht="13.2" x14ac:dyDescent="0.25">
      <c r="A19" s="33">
        <v>16</v>
      </c>
      <c r="B19" s="26" t="s">
        <v>0</v>
      </c>
      <c r="C19" s="26" t="s">
        <v>0</v>
      </c>
      <c r="D19" s="26" t="s">
        <v>0</v>
      </c>
      <c r="E19" s="27"/>
      <c r="F19" s="26" t="s">
        <v>0</v>
      </c>
      <c r="G19" s="26" t="s">
        <v>0</v>
      </c>
      <c r="H19" s="27"/>
      <c r="I19" s="26" t="s">
        <v>0</v>
      </c>
      <c r="J19" s="26" t="s">
        <v>3</v>
      </c>
      <c r="K19" s="26" t="s">
        <v>2</v>
      </c>
      <c r="L19" s="26" t="s">
        <v>0</v>
      </c>
      <c r="M19" s="27"/>
      <c r="N19" s="26" t="s">
        <v>0</v>
      </c>
      <c r="O19" s="26" t="s">
        <v>3</v>
      </c>
      <c r="P19" s="26" t="s">
        <v>0</v>
      </c>
      <c r="Q19" s="27"/>
      <c r="R19" s="26" t="s">
        <v>0</v>
      </c>
      <c r="S19" s="26" t="s">
        <v>0</v>
      </c>
      <c r="T19" s="26" t="s">
        <v>0</v>
      </c>
      <c r="U19" s="26" t="s">
        <v>3</v>
      </c>
      <c r="V19" s="26" t="s">
        <v>0</v>
      </c>
      <c r="W19" s="26" t="s">
        <v>3</v>
      </c>
      <c r="X19" s="27"/>
      <c r="Y19" s="26">
        <v>4</v>
      </c>
      <c r="Z19" s="26">
        <v>4</v>
      </c>
      <c r="AA19" s="26">
        <v>3</v>
      </c>
      <c r="AB19" s="26">
        <v>4</v>
      </c>
      <c r="AC19" s="26">
        <v>3</v>
      </c>
      <c r="AD19" s="26">
        <v>4</v>
      </c>
      <c r="AE19" s="27"/>
      <c r="AF19" s="47" t="s">
        <v>128</v>
      </c>
    </row>
    <row r="20" spans="1:32" ht="13.2" x14ac:dyDescent="0.25">
      <c r="A20" s="33">
        <v>17</v>
      </c>
      <c r="B20" s="26" t="s">
        <v>0</v>
      </c>
      <c r="C20" s="26" t="s">
        <v>0</v>
      </c>
      <c r="D20" s="26" t="s">
        <v>0</v>
      </c>
      <c r="E20" s="27"/>
      <c r="F20" s="26" t="s">
        <v>0</v>
      </c>
      <c r="G20" s="26" t="s">
        <v>0</v>
      </c>
      <c r="H20" s="27"/>
      <c r="I20" s="26" t="s">
        <v>0</v>
      </c>
      <c r="J20" s="26" t="s">
        <v>0</v>
      </c>
      <c r="K20" s="26" t="s">
        <v>0</v>
      </c>
      <c r="L20" s="26" t="s">
        <v>0</v>
      </c>
      <c r="M20" s="27"/>
      <c r="N20" s="26" t="s">
        <v>0</v>
      </c>
      <c r="O20" s="26" t="s">
        <v>0</v>
      </c>
      <c r="P20" s="26" t="s">
        <v>0</v>
      </c>
      <c r="Q20" s="27"/>
      <c r="R20" s="26" t="s">
        <v>0</v>
      </c>
      <c r="S20" s="26" t="s">
        <v>0</v>
      </c>
      <c r="T20" s="26" t="s">
        <v>0</v>
      </c>
      <c r="U20" s="26" t="s">
        <v>0</v>
      </c>
      <c r="V20" s="26" t="s">
        <v>0</v>
      </c>
      <c r="W20" s="26" t="s">
        <v>0</v>
      </c>
      <c r="X20" s="27"/>
      <c r="Y20" s="26">
        <v>5</v>
      </c>
      <c r="Z20" s="26">
        <v>4</v>
      </c>
      <c r="AA20" s="26">
        <v>5</v>
      </c>
      <c r="AB20" s="26">
        <v>4</v>
      </c>
      <c r="AC20" s="26">
        <v>4</v>
      </c>
      <c r="AD20" s="26">
        <v>5</v>
      </c>
      <c r="AE20" s="27"/>
      <c r="AF20" s="47" t="s">
        <v>91</v>
      </c>
    </row>
    <row r="21" spans="1:32" ht="13.2" x14ac:dyDescent="0.25">
      <c r="A21" s="33">
        <v>18</v>
      </c>
      <c r="B21" s="26" t="s">
        <v>2</v>
      </c>
      <c r="C21" s="26" t="s">
        <v>2</v>
      </c>
      <c r="D21" s="26" t="s">
        <v>0</v>
      </c>
      <c r="E21" s="26"/>
      <c r="F21" s="26" t="s">
        <v>0</v>
      </c>
      <c r="G21" s="26" t="s">
        <v>0</v>
      </c>
      <c r="H21" s="27"/>
      <c r="I21" s="26" t="s">
        <v>0</v>
      </c>
      <c r="J21" s="26" t="s">
        <v>0</v>
      </c>
      <c r="K21" s="26" t="s">
        <v>0</v>
      </c>
      <c r="L21" s="26" t="s">
        <v>0</v>
      </c>
      <c r="M21" s="27"/>
      <c r="N21" s="26" t="s">
        <v>0</v>
      </c>
      <c r="O21" s="26" t="s">
        <v>0</v>
      </c>
      <c r="P21" s="26" t="s">
        <v>0</v>
      </c>
      <c r="Q21" s="27"/>
      <c r="R21" s="26" t="s">
        <v>0</v>
      </c>
      <c r="S21" s="26" t="s">
        <v>0</v>
      </c>
      <c r="T21" s="26" t="s">
        <v>2</v>
      </c>
      <c r="U21" s="26" t="s">
        <v>2</v>
      </c>
      <c r="V21" s="26" t="s">
        <v>0</v>
      </c>
      <c r="W21" s="26" t="s">
        <v>0</v>
      </c>
      <c r="X21" s="27"/>
      <c r="Y21" s="26">
        <v>4</v>
      </c>
      <c r="Z21" s="26">
        <v>4</v>
      </c>
      <c r="AA21" s="26">
        <v>4</v>
      </c>
      <c r="AB21" s="26">
        <v>4</v>
      </c>
      <c r="AC21" s="26">
        <v>4</v>
      </c>
      <c r="AD21" s="26">
        <v>4</v>
      </c>
      <c r="AE21" s="27"/>
      <c r="AF21" s="47" t="s">
        <v>129</v>
      </c>
    </row>
    <row r="22" spans="1:32" ht="13.2" x14ac:dyDescent="0.25">
      <c r="A22" s="33">
        <v>19</v>
      </c>
      <c r="B22" s="26" t="s">
        <v>2</v>
      </c>
      <c r="C22" s="26" t="s">
        <v>2</v>
      </c>
      <c r="D22" s="26" t="s">
        <v>2</v>
      </c>
      <c r="E22" s="27"/>
      <c r="F22" s="26" t="s">
        <v>2</v>
      </c>
      <c r="G22" s="26" t="s">
        <v>2</v>
      </c>
      <c r="H22" s="27"/>
      <c r="I22" s="26" t="s">
        <v>2</v>
      </c>
      <c r="J22" s="26" t="s">
        <v>2</v>
      </c>
      <c r="K22" s="26" t="s">
        <v>2</v>
      </c>
      <c r="L22" s="26" t="s">
        <v>2</v>
      </c>
      <c r="M22" s="27"/>
      <c r="N22" s="26" t="s">
        <v>2</v>
      </c>
      <c r="O22" s="26" t="s">
        <v>2</v>
      </c>
      <c r="P22" s="26" t="s">
        <v>2</v>
      </c>
      <c r="Q22" s="27"/>
      <c r="R22" s="26" t="s">
        <v>2</v>
      </c>
      <c r="S22" s="26" t="s">
        <v>2</v>
      </c>
      <c r="T22" s="26" t="s">
        <v>2</v>
      </c>
      <c r="U22" s="26" t="s">
        <v>2</v>
      </c>
      <c r="V22" s="26" t="s">
        <v>2</v>
      </c>
      <c r="W22" s="26" t="s">
        <v>2</v>
      </c>
      <c r="X22" s="27"/>
      <c r="Y22" s="26">
        <v>5</v>
      </c>
      <c r="Z22" s="26">
        <v>5</v>
      </c>
      <c r="AA22" s="26">
        <v>5</v>
      </c>
      <c r="AB22" s="26">
        <v>5</v>
      </c>
      <c r="AC22" s="26">
        <v>5</v>
      </c>
      <c r="AD22" s="26">
        <v>5</v>
      </c>
      <c r="AE22" s="27"/>
      <c r="AF22" s="47" t="s">
        <v>95</v>
      </c>
    </row>
    <row r="23" spans="1:32" ht="13.2" x14ac:dyDescent="0.25">
      <c r="A23" s="33">
        <v>20</v>
      </c>
      <c r="B23" s="26" t="s">
        <v>0</v>
      </c>
      <c r="C23" s="26" t="s">
        <v>0</v>
      </c>
      <c r="D23" s="26" t="s">
        <v>0</v>
      </c>
      <c r="E23" s="27"/>
      <c r="F23" s="26" t="s">
        <v>0</v>
      </c>
      <c r="G23" s="26" t="s">
        <v>0</v>
      </c>
      <c r="H23" s="27"/>
      <c r="I23" s="26" t="s">
        <v>3</v>
      </c>
      <c r="J23" s="26" t="s">
        <v>3</v>
      </c>
      <c r="K23" s="26" t="s">
        <v>1</v>
      </c>
      <c r="L23" s="26" t="s">
        <v>1</v>
      </c>
      <c r="M23" s="27"/>
      <c r="N23" s="26" t="s">
        <v>3</v>
      </c>
      <c r="O23" s="26" t="s">
        <v>0</v>
      </c>
      <c r="P23" s="26" t="s">
        <v>0</v>
      </c>
      <c r="Q23" s="27"/>
      <c r="R23" s="26" t="s">
        <v>0</v>
      </c>
      <c r="S23" s="26" t="s">
        <v>0</v>
      </c>
      <c r="T23" s="26" t="s">
        <v>0</v>
      </c>
      <c r="U23" s="26" t="s">
        <v>0</v>
      </c>
      <c r="V23" s="26" t="s">
        <v>0</v>
      </c>
      <c r="W23" s="26" t="s">
        <v>0</v>
      </c>
      <c r="X23" s="27"/>
      <c r="Y23" s="26">
        <v>3</v>
      </c>
      <c r="Z23" s="26">
        <v>3</v>
      </c>
      <c r="AA23" s="26">
        <v>3</v>
      </c>
      <c r="AB23" s="26">
        <v>3</v>
      </c>
      <c r="AC23" s="26">
        <v>3</v>
      </c>
      <c r="AD23" s="26">
        <v>3</v>
      </c>
      <c r="AE23" s="27"/>
      <c r="AF23" s="47" t="s">
        <v>94</v>
      </c>
    </row>
    <row r="24" spans="1:32" ht="13.2" x14ac:dyDescent="0.25">
      <c r="A24" s="33">
        <v>21</v>
      </c>
      <c r="B24" s="26" t="s">
        <v>2</v>
      </c>
      <c r="C24" s="26" t="s">
        <v>0</v>
      </c>
      <c r="D24" s="26" t="s">
        <v>2</v>
      </c>
      <c r="E24" s="27"/>
      <c r="F24" s="26" t="s">
        <v>2</v>
      </c>
      <c r="G24" s="26" t="s">
        <v>2</v>
      </c>
      <c r="H24" s="27"/>
      <c r="I24" s="26" t="s">
        <v>2</v>
      </c>
      <c r="J24" s="26" t="s">
        <v>2</v>
      </c>
      <c r="K24" s="26" t="s">
        <v>2</v>
      </c>
      <c r="L24" s="26" t="s">
        <v>2</v>
      </c>
      <c r="M24" s="27"/>
      <c r="N24" s="26" t="s">
        <v>2</v>
      </c>
      <c r="O24" s="26" t="s">
        <v>2</v>
      </c>
      <c r="P24" s="26" t="s">
        <v>2</v>
      </c>
      <c r="Q24" s="27"/>
      <c r="R24" s="26" t="s">
        <v>2</v>
      </c>
      <c r="S24" s="26" t="s">
        <v>2</v>
      </c>
      <c r="T24" s="26" t="s">
        <v>2</v>
      </c>
      <c r="U24" s="26" t="s">
        <v>2</v>
      </c>
      <c r="V24" s="26" t="s">
        <v>2</v>
      </c>
      <c r="W24" s="26" t="s">
        <v>2</v>
      </c>
      <c r="X24" s="27"/>
      <c r="Y24" s="26">
        <v>5</v>
      </c>
      <c r="Z24" s="26">
        <v>5</v>
      </c>
      <c r="AA24" s="26">
        <v>4</v>
      </c>
      <c r="AB24" s="26">
        <v>5</v>
      </c>
      <c r="AC24" s="26">
        <v>5</v>
      </c>
      <c r="AD24" s="26">
        <v>5</v>
      </c>
      <c r="AE24" s="27"/>
      <c r="AF24" s="47" t="s">
        <v>92</v>
      </c>
    </row>
    <row r="25" spans="1:32" ht="13.2" x14ac:dyDescent="0.25">
      <c r="A25" s="33">
        <v>22</v>
      </c>
      <c r="B25" s="26" t="s">
        <v>2</v>
      </c>
      <c r="C25" s="26" t="s">
        <v>2</v>
      </c>
      <c r="D25" s="26" t="s">
        <v>2</v>
      </c>
      <c r="E25" s="26"/>
      <c r="F25" s="26" t="s">
        <v>2</v>
      </c>
      <c r="G25" s="26" t="s">
        <v>2</v>
      </c>
      <c r="H25" s="26"/>
      <c r="I25" s="26" t="s">
        <v>2</v>
      </c>
      <c r="J25" s="26" t="s">
        <v>2</v>
      </c>
      <c r="K25" s="26" t="s">
        <v>2</v>
      </c>
      <c r="L25" s="26" t="s">
        <v>2</v>
      </c>
      <c r="M25" s="27"/>
      <c r="N25" s="26" t="s">
        <v>2</v>
      </c>
      <c r="O25" s="26" t="s">
        <v>2</v>
      </c>
      <c r="P25" s="26" t="s">
        <v>2</v>
      </c>
      <c r="Q25" s="27"/>
      <c r="R25" s="26" t="s">
        <v>2</v>
      </c>
      <c r="S25" s="26" t="s">
        <v>2</v>
      </c>
      <c r="T25" s="26" t="s">
        <v>2</v>
      </c>
      <c r="U25" s="26" t="s">
        <v>2</v>
      </c>
      <c r="V25" s="26" t="s">
        <v>2</v>
      </c>
      <c r="W25" s="26" t="s">
        <v>2</v>
      </c>
      <c r="X25" s="27"/>
      <c r="Y25" s="26">
        <v>5</v>
      </c>
      <c r="Z25" s="26">
        <v>5</v>
      </c>
      <c r="AA25" s="26">
        <v>5</v>
      </c>
      <c r="AB25" s="26">
        <v>5</v>
      </c>
      <c r="AC25" s="26">
        <v>5</v>
      </c>
      <c r="AD25" s="26">
        <v>5</v>
      </c>
      <c r="AE25" s="27"/>
      <c r="AF25" s="47" t="s">
        <v>96</v>
      </c>
    </row>
    <row r="26" spans="1:32" ht="40.799999999999997" x14ac:dyDescent="0.25">
      <c r="A26" s="33">
        <v>23</v>
      </c>
      <c r="B26" s="26" t="s">
        <v>2</v>
      </c>
      <c r="C26" s="26" t="s">
        <v>2</v>
      </c>
      <c r="D26" s="26" t="s">
        <v>2</v>
      </c>
      <c r="E26" s="26"/>
      <c r="F26" s="26" t="s">
        <v>2</v>
      </c>
      <c r="G26" s="26" t="s">
        <v>2</v>
      </c>
      <c r="H26" s="27"/>
      <c r="I26" s="26" t="s">
        <v>2</v>
      </c>
      <c r="J26" s="26" t="s">
        <v>2</v>
      </c>
      <c r="K26" s="26" t="s">
        <v>2</v>
      </c>
      <c r="L26" s="26" t="s">
        <v>2</v>
      </c>
      <c r="M26" s="26"/>
      <c r="N26" s="26" t="s">
        <v>2</v>
      </c>
      <c r="O26" s="26" t="s">
        <v>2</v>
      </c>
      <c r="P26" s="26" t="s">
        <v>2</v>
      </c>
      <c r="Q26" s="26"/>
      <c r="R26" s="26" t="s">
        <v>2</v>
      </c>
      <c r="S26" s="26" t="s">
        <v>2</v>
      </c>
      <c r="T26" s="26" t="s">
        <v>2</v>
      </c>
      <c r="U26" s="26" t="s">
        <v>2</v>
      </c>
      <c r="V26" s="26" t="s">
        <v>2</v>
      </c>
      <c r="W26" s="26" t="s">
        <v>2</v>
      </c>
      <c r="X26" s="27" t="s">
        <v>106</v>
      </c>
      <c r="Y26" s="26">
        <v>5</v>
      </c>
      <c r="Z26" s="26">
        <v>5</v>
      </c>
      <c r="AA26" s="26">
        <v>5</v>
      </c>
      <c r="AB26" s="26">
        <v>5</v>
      </c>
      <c r="AC26" s="26">
        <v>5</v>
      </c>
      <c r="AD26" s="26">
        <v>5</v>
      </c>
      <c r="AE26" s="27"/>
      <c r="AF26" s="47" t="s">
        <v>93</v>
      </c>
    </row>
    <row r="27" spans="1:32" ht="13.2" x14ac:dyDescent="0.25">
      <c r="A27" s="33">
        <v>24</v>
      </c>
      <c r="B27" s="26" t="s">
        <v>2</v>
      </c>
      <c r="C27" s="26" t="s">
        <v>2</v>
      </c>
      <c r="D27" s="26" t="s">
        <v>2</v>
      </c>
      <c r="E27" s="27"/>
      <c r="F27" s="26" t="s">
        <v>2</v>
      </c>
      <c r="G27" s="26" t="s">
        <v>2</v>
      </c>
      <c r="H27" s="27"/>
      <c r="I27" s="26" t="s">
        <v>2</v>
      </c>
      <c r="J27" s="26" t="s">
        <v>2</v>
      </c>
      <c r="K27" s="26" t="s">
        <v>2</v>
      </c>
      <c r="L27" s="26" t="s">
        <v>2</v>
      </c>
      <c r="M27" s="27"/>
      <c r="N27" s="26" t="s">
        <v>2</v>
      </c>
      <c r="O27" s="26" t="s">
        <v>2</v>
      </c>
      <c r="P27" s="26" t="s">
        <v>2</v>
      </c>
      <c r="Q27" s="27"/>
      <c r="R27" s="26" t="s">
        <v>2</v>
      </c>
      <c r="S27" s="26" t="s">
        <v>2</v>
      </c>
      <c r="T27" s="26" t="s">
        <v>2</v>
      </c>
      <c r="U27" s="26" t="s">
        <v>2</v>
      </c>
      <c r="V27" s="26" t="s">
        <v>2</v>
      </c>
      <c r="W27" s="26" t="s">
        <v>2</v>
      </c>
      <c r="X27" s="27"/>
      <c r="Y27" s="26">
        <v>5</v>
      </c>
      <c r="Z27" s="26">
        <v>5</v>
      </c>
      <c r="AA27" s="26">
        <v>5</v>
      </c>
      <c r="AB27" s="26">
        <v>4</v>
      </c>
      <c r="AC27" s="26">
        <v>5</v>
      </c>
      <c r="AD27" s="26">
        <v>5</v>
      </c>
      <c r="AE27" s="27"/>
      <c r="AF27" s="47" t="s">
        <v>107</v>
      </c>
    </row>
    <row r="28" spans="1:32" ht="13.2" x14ac:dyDescent="0.25">
      <c r="A28" s="33">
        <v>25</v>
      </c>
      <c r="B28" s="26" t="s">
        <v>2</v>
      </c>
      <c r="C28" s="26" t="s">
        <v>0</v>
      </c>
      <c r="D28" s="26" t="s">
        <v>2</v>
      </c>
      <c r="E28" s="27"/>
      <c r="F28" s="26" t="s">
        <v>0</v>
      </c>
      <c r="G28" s="26" t="s">
        <v>2</v>
      </c>
      <c r="H28" s="27"/>
      <c r="I28" s="26" t="s">
        <v>0</v>
      </c>
      <c r="J28" s="26" t="s">
        <v>2</v>
      </c>
      <c r="K28" s="26" t="s">
        <v>0</v>
      </c>
      <c r="L28" s="26" t="s">
        <v>2</v>
      </c>
      <c r="M28" s="27"/>
      <c r="N28" s="26" t="s">
        <v>0</v>
      </c>
      <c r="O28" s="26" t="s">
        <v>2</v>
      </c>
      <c r="P28" s="26" t="s">
        <v>0</v>
      </c>
      <c r="Q28" s="27"/>
      <c r="R28" s="26" t="s">
        <v>2</v>
      </c>
      <c r="S28" s="26" t="s">
        <v>0</v>
      </c>
      <c r="T28" s="26" t="s">
        <v>2</v>
      </c>
      <c r="U28" s="26" t="s">
        <v>0</v>
      </c>
      <c r="V28" s="26" t="s">
        <v>2</v>
      </c>
      <c r="W28" s="26" t="s">
        <v>2</v>
      </c>
      <c r="X28" s="27"/>
      <c r="Y28" s="26">
        <v>4</v>
      </c>
      <c r="Z28" s="26">
        <v>5</v>
      </c>
      <c r="AA28" s="26">
        <v>4</v>
      </c>
      <c r="AB28" s="26">
        <v>5</v>
      </c>
      <c r="AC28" s="26">
        <v>5</v>
      </c>
      <c r="AD28" s="26">
        <v>5</v>
      </c>
      <c r="AE28" s="27"/>
      <c r="AF28" s="47" t="s">
        <v>97</v>
      </c>
    </row>
    <row r="29" spans="1:32" ht="13.2" x14ac:dyDescent="0.25">
      <c r="A29" s="33">
        <v>26</v>
      </c>
      <c r="B29" s="26" t="s">
        <v>2</v>
      </c>
      <c r="C29" s="26" t="s">
        <v>2</v>
      </c>
      <c r="D29" s="26" t="s">
        <v>2</v>
      </c>
      <c r="E29" s="27"/>
      <c r="F29" s="26" t="s">
        <v>0</v>
      </c>
      <c r="G29" s="26" t="s">
        <v>3</v>
      </c>
      <c r="H29" s="27"/>
      <c r="I29" s="26" t="s">
        <v>0</v>
      </c>
      <c r="J29" s="26" t="s">
        <v>0</v>
      </c>
      <c r="K29" s="26" t="s">
        <v>0</v>
      </c>
      <c r="L29" s="26" t="s">
        <v>0</v>
      </c>
      <c r="M29" s="27"/>
      <c r="N29" s="26" t="s">
        <v>2</v>
      </c>
      <c r="O29" s="26" t="s">
        <v>0</v>
      </c>
      <c r="P29" s="26" t="s">
        <v>2</v>
      </c>
      <c r="Q29" s="27"/>
      <c r="R29" s="26" t="s">
        <v>2</v>
      </c>
      <c r="S29" s="26" t="s">
        <v>2</v>
      </c>
      <c r="T29" s="26" t="s">
        <v>2</v>
      </c>
      <c r="U29" s="26" t="s">
        <v>2</v>
      </c>
      <c r="V29" s="26" t="s">
        <v>2</v>
      </c>
      <c r="W29" s="26" t="s">
        <v>2</v>
      </c>
      <c r="X29" s="27"/>
      <c r="Y29" s="26">
        <v>5</v>
      </c>
      <c r="Z29" s="26">
        <v>5</v>
      </c>
      <c r="AA29" s="26">
        <v>3</v>
      </c>
      <c r="AB29" s="26">
        <v>5</v>
      </c>
      <c r="AC29" s="26">
        <v>3</v>
      </c>
      <c r="AD29" s="26">
        <v>5</v>
      </c>
      <c r="AE29" s="27"/>
      <c r="AF29" s="47" t="s">
        <v>98</v>
      </c>
    </row>
    <row r="30" spans="1:32" ht="13.2" x14ac:dyDescent="0.25">
      <c r="A30" s="33">
        <v>27</v>
      </c>
      <c r="B30" s="26" t="s">
        <v>2</v>
      </c>
      <c r="C30" s="26" t="s">
        <v>2</v>
      </c>
      <c r="D30" s="26" t="s">
        <v>2</v>
      </c>
      <c r="E30" s="27"/>
      <c r="F30" s="26" t="s">
        <v>2</v>
      </c>
      <c r="G30" s="26" t="s">
        <v>2</v>
      </c>
      <c r="H30" s="27"/>
      <c r="I30" s="26" t="s">
        <v>2</v>
      </c>
      <c r="J30" s="26" t="s">
        <v>2</v>
      </c>
      <c r="K30" s="26" t="s">
        <v>2</v>
      </c>
      <c r="L30" s="26" t="s">
        <v>2</v>
      </c>
      <c r="M30" s="27"/>
      <c r="N30" s="26" t="s">
        <v>2</v>
      </c>
      <c r="O30" s="26" t="s">
        <v>2</v>
      </c>
      <c r="P30" s="26" t="s">
        <v>2</v>
      </c>
      <c r="Q30" s="27"/>
      <c r="R30" s="26" t="s">
        <v>2</v>
      </c>
      <c r="S30" s="26" t="s">
        <v>2</v>
      </c>
      <c r="T30" s="26" t="s">
        <v>2</v>
      </c>
      <c r="U30" s="26" t="s">
        <v>2</v>
      </c>
      <c r="V30" s="26" t="s">
        <v>2</v>
      </c>
      <c r="W30" s="26" t="s">
        <v>2</v>
      </c>
      <c r="X30" s="27"/>
      <c r="Y30" s="26">
        <v>5</v>
      </c>
      <c r="Z30" s="26">
        <v>5</v>
      </c>
      <c r="AA30" s="26">
        <v>5</v>
      </c>
      <c r="AB30" s="26">
        <v>5</v>
      </c>
      <c r="AC30" s="26">
        <v>5</v>
      </c>
      <c r="AD30" s="26">
        <v>5</v>
      </c>
      <c r="AE30" s="27"/>
      <c r="AF30" s="47" t="s">
        <v>99</v>
      </c>
    </row>
    <row r="31" spans="1:32" ht="13.2" x14ac:dyDescent="0.25">
      <c r="A31" s="33">
        <v>28</v>
      </c>
      <c r="B31" s="26" t="s">
        <v>2</v>
      </c>
      <c r="C31" s="26" t="s">
        <v>2</v>
      </c>
      <c r="D31" s="26" t="s">
        <v>2</v>
      </c>
      <c r="E31" s="27"/>
      <c r="F31" s="26" t="s">
        <v>2</v>
      </c>
      <c r="G31" s="26" t="s">
        <v>2</v>
      </c>
      <c r="H31" s="27"/>
      <c r="I31" s="26" t="s">
        <v>2</v>
      </c>
      <c r="J31" s="26" t="s">
        <v>2</v>
      </c>
      <c r="K31" s="26" t="s">
        <v>2</v>
      </c>
      <c r="L31" s="26" t="s">
        <v>2</v>
      </c>
      <c r="M31" s="27"/>
      <c r="N31" s="26" t="s">
        <v>2</v>
      </c>
      <c r="O31" s="26" t="s">
        <v>2</v>
      </c>
      <c r="P31" s="26" t="s">
        <v>2</v>
      </c>
      <c r="Q31" s="27"/>
      <c r="R31" s="26" t="s">
        <v>2</v>
      </c>
      <c r="S31" s="26" t="s">
        <v>2</v>
      </c>
      <c r="T31" s="26" t="s">
        <v>2</v>
      </c>
      <c r="U31" s="26" t="s">
        <v>2</v>
      </c>
      <c r="V31" s="26" t="s">
        <v>2</v>
      </c>
      <c r="W31" s="26" t="s">
        <v>2</v>
      </c>
      <c r="X31" s="26"/>
      <c r="Y31" s="26">
        <v>5</v>
      </c>
      <c r="Z31" s="26">
        <v>5</v>
      </c>
      <c r="AA31" s="26">
        <v>5</v>
      </c>
      <c r="AB31" s="26">
        <v>5</v>
      </c>
      <c r="AC31" s="26">
        <v>5</v>
      </c>
      <c r="AD31" s="26">
        <v>5</v>
      </c>
      <c r="AE31" s="27"/>
      <c r="AF31" s="47" t="s">
        <v>100</v>
      </c>
    </row>
    <row r="32" spans="1:32" ht="13.2" x14ac:dyDescent="0.25">
      <c r="A32" s="33">
        <v>29</v>
      </c>
      <c r="B32" s="26" t="s">
        <v>2</v>
      </c>
      <c r="C32" s="26" t="s">
        <v>2</v>
      </c>
      <c r="D32" s="26" t="s">
        <v>2</v>
      </c>
      <c r="E32" s="27"/>
      <c r="F32" s="26" t="s">
        <v>2</v>
      </c>
      <c r="G32" s="26" t="s">
        <v>2</v>
      </c>
      <c r="H32" s="27"/>
      <c r="I32" s="26" t="s">
        <v>2</v>
      </c>
      <c r="J32" s="26" t="s">
        <v>2</v>
      </c>
      <c r="K32" s="26" t="s">
        <v>2</v>
      </c>
      <c r="L32" s="26" t="s">
        <v>2</v>
      </c>
      <c r="M32" s="27"/>
      <c r="N32" s="26" t="s">
        <v>2</v>
      </c>
      <c r="O32" s="26" t="s">
        <v>2</v>
      </c>
      <c r="P32" s="26" t="s">
        <v>2</v>
      </c>
      <c r="Q32" s="27"/>
      <c r="R32" s="26" t="s">
        <v>2</v>
      </c>
      <c r="S32" s="26" t="s">
        <v>2</v>
      </c>
      <c r="T32" s="26" t="s">
        <v>2</v>
      </c>
      <c r="U32" s="26" t="s">
        <v>2</v>
      </c>
      <c r="V32" s="26" t="s">
        <v>2</v>
      </c>
      <c r="W32" s="26" t="s">
        <v>2</v>
      </c>
      <c r="X32" s="27"/>
      <c r="Y32" s="26">
        <v>5</v>
      </c>
      <c r="Z32" s="26">
        <v>5</v>
      </c>
      <c r="AA32" s="26">
        <v>5</v>
      </c>
      <c r="AB32" s="26">
        <v>5</v>
      </c>
      <c r="AC32" s="26">
        <v>5</v>
      </c>
      <c r="AD32" s="26">
        <v>5</v>
      </c>
      <c r="AE32" s="27"/>
      <c r="AF32" s="47" t="s">
        <v>101</v>
      </c>
    </row>
    <row r="33" spans="1:32" ht="13.2" x14ac:dyDescent="0.25">
      <c r="A33" s="33">
        <v>30</v>
      </c>
      <c r="B33" s="26" t="s">
        <v>2</v>
      </c>
      <c r="C33" s="26" t="s">
        <v>2</v>
      </c>
      <c r="D33" s="26" t="s">
        <v>2</v>
      </c>
      <c r="E33" s="27"/>
      <c r="F33" s="26" t="s">
        <v>0</v>
      </c>
      <c r="G33" s="26" t="s">
        <v>0</v>
      </c>
      <c r="H33" s="27"/>
      <c r="I33" s="26" t="s">
        <v>2</v>
      </c>
      <c r="J33" s="26" t="s">
        <v>2</v>
      </c>
      <c r="K33" s="26" t="s">
        <v>2</v>
      </c>
      <c r="L33" s="26" t="s">
        <v>2</v>
      </c>
      <c r="M33" s="27"/>
      <c r="N33" s="26" t="s">
        <v>2</v>
      </c>
      <c r="O33" s="26" t="s">
        <v>2</v>
      </c>
      <c r="P33" s="26" t="s">
        <v>2</v>
      </c>
      <c r="Q33" s="27"/>
      <c r="R33" s="26" t="s">
        <v>0</v>
      </c>
      <c r="S33" s="26" t="s">
        <v>0</v>
      </c>
      <c r="T33" s="26" t="s">
        <v>0</v>
      </c>
      <c r="U33" s="26" t="s">
        <v>2</v>
      </c>
      <c r="V33" s="26" t="s">
        <v>2</v>
      </c>
      <c r="W33" s="26" t="s">
        <v>2</v>
      </c>
      <c r="X33" s="27"/>
      <c r="Y33" s="26">
        <v>5</v>
      </c>
      <c r="Z33" s="26">
        <v>4</v>
      </c>
      <c r="AA33" s="26">
        <v>4</v>
      </c>
      <c r="AB33" s="26">
        <v>4</v>
      </c>
      <c r="AC33" s="26">
        <v>4</v>
      </c>
      <c r="AD33" s="26">
        <v>4</v>
      </c>
      <c r="AE33" s="27"/>
      <c r="AF33" s="47" t="s">
        <v>102</v>
      </c>
    </row>
    <row r="34" spans="1:32" ht="13.2" x14ac:dyDescent="0.25">
      <c r="A34" s="33">
        <v>31</v>
      </c>
      <c r="B34" s="26" t="s">
        <v>2</v>
      </c>
      <c r="C34" s="26" t="s">
        <v>2</v>
      </c>
      <c r="D34" s="26" t="s">
        <v>2</v>
      </c>
      <c r="E34" s="27"/>
      <c r="F34" s="26" t="s">
        <v>2</v>
      </c>
      <c r="G34" s="26" t="s">
        <v>2</v>
      </c>
      <c r="H34" s="27"/>
      <c r="I34" s="26" t="s">
        <v>2</v>
      </c>
      <c r="J34" s="26" t="s">
        <v>2</v>
      </c>
      <c r="K34" s="26" t="s">
        <v>2</v>
      </c>
      <c r="L34" s="26" t="s">
        <v>2</v>
      </c>
      <c r="M34" s="27"/>
      <c r="N34" s="26" t="s">
        <v>2</v>
      </c>
      <c r="O34" s="26" t="s">
        <v>2</v>
      </c>
      <c r="P34" s="26" t="s">
        <v>0</v>
      </c>
      <c r="Q34" s="27"/>
      <c r="R34" s="26" t="s">
        <v>2</v>
      </c>
      <c r="S34" s="26" t="s">
        <v>0</v>
      </c>
      <c r="T34" s="26" t="s">
        <v>2</v>
      </c>
      <c r="U34" s="26" t="s">
        <v>2</v>
      </c>
      <c r="V34" s="26" t="s">
        <v>0</v>
      </c>
      <c r="W34" s="26" t="s">
        <v>2</v>
      </c>
      <c r="X34" s="27"/>
      <c r="Y34" s="26">
        <v>5</v>
      </c>
      <c r="Z34" s="26">
        <v>5</v>
      </c>
      <c r="AA34" s="26">
        <v>5</v>
      </c>
      <c r="AB34" s="26">
        <v>5</v>
      </c>
      <c r="AC34" s="26">
        <v>5</v>
      </c>
      <c r="AD34" s="26">
        <v>5</v>
      </c>
      <c r="AE34" s="27"/>
      <c r="AF34" s="47" t="s">
        <v>103</v>
      </c>
    </row>
    <row r="35" spans="1:32" ht="13.2" x14ac:dyDescent="0.25">
      <c r="A35" s="33">
        <v>32</v>
      </c>
      <c r="B35" s="26" t="s">
        <v>2</v>
      </c>
      <c r="C35" s="26" t="s">
        <v>2</v>
      </c>
      <c r="D35" s="26" t="s">
        <v>2</v>
      </c>
      <c r="E35" s="27"/>
      <c r="F35" s="26" t="s">
        <v>2</v>
      </c>
      <c r="G35" s="26" t="s">
        <v>2</v>
      </c>
      <c r="H35" s="27"/>
      <c r="I35" s="26" t="s">
        <v>2</v>
      </c>
      <c r="J35" s="26" t="s">
        <v>2</v>
      </c>
      <c r="K35" s="26" t="s">
        <v>2</v>
      </c>
      <c r="L35" s="26" t="s">
        <v>2</v>
      </c>
      <c r="M35" s="27"/>
      <c r="N35" s="26" t="s">
        <v>2</v>
      </c>
      <c r="O35" s="26" t="s">
        <v>2</v>
      </c>
      <c r="P35" s="26" t="s">
        <v>2</v>
      </c>
      <c r="Q35" s="27"/>
      <c r="R35" s="26" t="s">
        <v>2</v>
      </c>
      <c r="S35" s="26" t="s">
        <v>2</v>
      </c>
      <c r="T35" s="26" t="s">
        <v>2</v>
      </c>
      <c r="U35" s="26" t="s">
        <v>2</v>
      </c>
      <c r="V35" s="26" t="s">
        <v>2</v>
      </c>
      <c r="W35" s="26" t="s">
        <v>2</v>
      </c>
      <c r="X35" s="27"/>
      <c r="Y35" s="26">
        <v>5</v>
      </c>
      <c r="Z35" s="26">
        <v>5</v>
      </c>
      <c r="AA35" s="26">
        <v>5</v>
      </c>
      <c r="AB35" s="26">
        <v>5</v>
      </c>
      <c r="AC35" s="26">
        <v>5</v>
      </c>
      <c r="AD35" s="26">
        <v>5</v>
      </c>
      <c r="AE35" s="27"/>
      <c r="AF35" s="47" t="s">
        <v>104</v>
      </c>
    </row>
    <row r="36" spans="1:32" ht="13.2" x14ac:dyDescent="0.25">
      <c r="A36" s="33">
        <v>33</v>
      </c>
      <c r="B36" s="26" t="s">
        <v>0</v>
      </c>
      <c r="C36" s="26" t="s">
        <v>0</v>
      </c>
      <c r="D36" s="26" t="s">
        <v>0</v>
      </c>
      <c r="E36" s="27"/>
      <c r="F36" s="26" t="s">
        <v>0</v>
      </c>
      <c r="G36" s="26" t="s">
        <v>0</v>
      </c>
      <c r="H36" s="27"/>
      <c r="I36" s="26" t="s">
        <v>0</v>
      </c>
      <c r="J36" s="26" t="s">
        <v>0</v>
      </c>
      <c r="K36" s="26" t="s">
        <v>0</v>
      </c>
      <c r="L36" s="26" t="s">
        <v>0</v>
      </c>
      <c r="M36" s="27"/>
      <c r="N36" s="26" t="s">
        <v>0</v>
      </c>
      <c r="O36" s="26" t="s">
        <v>0</v>
      </c>
      <c r="P36" s="26" t="s">
        <v>0</v>
      </c>
      <c r="Q36" s="27"/>
      <c r="R36" s="26" t="s">
        <v>0</v>
      </c>
      <c r="S36" s="26" t="s">
        <v>0</v>
      </c>
      <c r="T36" s="26" t="s">
        <v>0</v>
      </c>
      <c r="U36" s="26" t="s">
        <v>0</v>
      </c>
      <c r="V36" s="26" t="s">
        <v>0</v>
      </c>
      <c r="W36" s="26" t="s">
        <v>0</v>
      </c>
      <c r="X36" s="27"/>
      <c r="Y36" s="26">
        <v>4</v>
      </c>
      <c r="Z36" s="26">
        <v>4</v>
      </c>
      <c r="AA36" s="26">
        <v>4</v>
      </c>
      <c r="AB36" s="26">
        <v>4</v>
      </c>
      <c r="AC36" s="26">
        <v>4</v>
      </c>
      <c r="AD36" s="26">
        <v>4</v>
      </c>
      <c r="AE36" s="27"/>
      <c r="AF36" s="47" t="s">
        <v>105</v>
      </c>
    </row>
    <row r="37" spans="1:32" ht="13.2" x14ac:dyDescent="0.25">
      <c r="A37" s="33">
        <v>34</v>
      </c>
      <c r="B37" s="26" t="s">
        <v>0</v>
      </c>
      <c r="C37" s="26" t="s">
        <v>0</v>
      </c>
      <c r="D37" s="26" t="s">
        <v>0</v>
      </c>
      <c r="E37" s="27"/>
      <c r="F37" s="26" t="s">
        <v>0</v>
      </c>
      <c r="G37" s="26" t="s">
        <v>0</v>
      </c>
      <c r="H37" s="27"/>
      <c r="I37" s="26" t="s">
        <v>0</v>
      </c>
      <c r="J37" s="26" t="s">
        <v>0</v>
      </c>
      <c r="K37" s="26" t="s">
        <v>0</v>
      </c>
      <c r="L37" s="26" t="s">
        <v>0</v>
      </c>
      <c r="M37" s="27"/>
      <c r="N37" s="26" t="s">
        <v>0</v>
      </c>
      <c r="O37" s="26" t="s">
        <v>0</v>
      </c>
      <c r="P37" s="26" t="s">
        <v>0</v>
      </c>
      <c r="Q37" s="27"/>
      <c r="R37" s="26" t="s">
        <v>0</v>
      </c>
      <c r="S37" s="26" t="s">
        <v>0</v>
      </c>
      <c r="T37" s="26" t="s">
        <v>0</v>
      </c>
      <c r="U37" s="26" t="s">
        <v>0</v>
      </c>
      <c r="V37" s="26" t="s">
        <v>0</v>
      </c>
      <c r="W37" s="26" t="s">
        <v>0</v>
      </c>
      <c r="X37" s="27"/>
      <c r="Y37" s="26">
        <v>5</v>
      </c>
      <c r="Z37" s="26">
        <v>4</v>
      </c>
      <c r="AA37" s="26">
        <v>5</v>
      </c>
      <c r="AB37" s="26">
        <v>4</v>
      </c>
      <c r="AC37" s="26">
        <v>4</v>
      </c>
      <c r="AD37" s="26">
        <v>5</v>
      </c>
      <c r="AE37" s="27"/>
      <c r="AF37" s="47" t="s">
        <v>100</v>
      </c>
    </row>
    <row r="38" spans="1:32" ht="13.2" x14ac:dyDescent="0.25">
      <c r="A38" s="33">
        <v>35</v>
      </c>
      <c r="B38" s="26"/>
      <c r="C38" s="26"/>
      <c r="D38" s="26"/>
      <c r="E38" s="27"/>
      <c r="F38" s="26"/>
      <c r="G38" s="26"/>
      <c r="H38" s="27"/>
      <c r="I38" s="26"/>
      <c r="J38" s="26"/>
      <c r="K38" s="26"/>
      <c r="L38" s="26"/>
      <c r="M38" s="27"/>
      <c r="N38" s="26"/>
      <c r="O38" s="26"/>
      <c r="P38" s="26"/>
      <c r="Q38" s="27"/>
      <c r="R38" s="26"/>
      <c r="S38" s="26"/>
      <c r="T38" s="26"/>
      <c r="U38" s="26"/>
      <c r="V38" s="26"/>
      <c r="W38" s="26"/>
      <c r="X38" s="27"/>
      <c r="Y38" s="26"/>
      <c r="Z38" s="26"/>
      <c r="AA38" s="26"/>
      <c r="AB38" s="26"/>
      <c r="AC38" s="26"/>
      <c r="AD38" s="26"/>
      <c r="AE38" s="27"/>
      <c r="AF38" s="28"/>
    </row>
    <row r="39" spans="1:32" ht="13.2" x14ac:dyDescent="0.25">
      <c r="A39" s="33">
        <v>36</v>
      </c>
      <c r="B39" s="26"/>
      <c r="C39" s="26"/>
      <c r="D39" s="26"/>
      <c r="E39" s="27"/>
      <c r="F39" s="26"/>
      <c r="G39" s="26"/>
      <c r="H39" s="27"/>
      <c r="I39" s="26"/>
      <c r="J39" s="26"/>
      <c r="K39" s="26"/>
      <c r="L39" s="26"/>
      <c r="M39" s="27"/>
      <c r="N39" s="26"/>
      <c r="O39" s="26"/>
      <c r="P39" s="26"/>
      <c r="Q39" s="27"/>
      <c r="R39" s="26"/>
      <c r="S39" s="26"/>
      <c r="T39" s="26"/>
      <c r="U39" s="26"/>
      <c r="V39" s="26"/>
      <c r="W39" s="26"/>
      <c r="X39" s="27"/>
      <c r="Y39" s="26"/>
      <c r="Z39" s="26"/>
      <c r="AA39" s="26"/>
      <c r="AB39" s="26"/>
      <c r="AC39" s="26"/>
      <c r="AD39" s="26"/>
      <c r="AE39" s="27"/>
      <c r="AF39" s="28"/>
    </row>
    <row r="40" spans="1:32" ht="13.2" x14ac:dyDescent="0.25">
      <c r="A40" s="33">
        <v>37</v>
      </c>
      <c r="B40" s="26"/>
      <c r="C40" s="26"/>
      <c r="D40" s="26"/>
      <c r="E40" s="27"/>
      <c r="F40" s="26"/>
      <c r="G40" s="26"/>
      <c r="H40" s="27"/>
      <c r="I40" s="26"/>
      <c r="J40" s="26"/>
      <c r="K40" s="26"/>
      <c r="L40" s="26"/>
      <c r="M40" s="27"/>
      <c r="N40" s="26"/>
      <c r="O40" s="26"/>
      <c r="P40" s="26"/>
      <c r="Q40" s="27"/>
      <c r="R40" s="26"/>
      <c r="S40" s="26"/>
      <c r="T40" s="26"/>
      <c r="U40" s="26"/>
      <c r="V40" s="26"/>
      <c r="W40" s="26"/>
      <c r="X40" s="27"/>
      <c r="Y40" s="26"/>
      <c r="Z40" s="26"/>
      <c r="AA40" s="26"/>
      <c r="AB40" s="26"/>
      <c r="AC40" s="26"/>
      <c r="AD40" s="26"/>
      <c r="AE40" s="27"/>
      <c r="AF40" s="28"/>
    </row>
    <row r="41" spans="1:32" ht="13.2" x14ac:dyDescent="0.25">
      <c r="A41" s="33">
        <v>38</v>
      </c>
      <c r="B41" s="26"/>
      <c r="C41" s="26"/>
      <c r="D41" s="26"/>
      <c r="E41" s="27"/>
      <c r="F41" s="26"/>
      <c r="G41" s="26"/>
      <c r="H41" s="27"/>
      <c r="I41" s="26"/>
      <c r="J41" s="26"/>
      <c r="K41" s="26"/>
      <c r="L41" s="26"/>
      <c r="M41" s="27"/>
      <c r="N41" s="26"/>
      <c r="O41" s="26"/>
      <c r="P41" s="26"/>
      <c r="Q41" s="27"/>
      <c r="R41" s="26"/>
      <c r="S41" s="26"/>
      <c r="T41" s="26"/>
      <c r="U41" s="26"/>
      <c r="V41" s="26"/>
      <c r="W41" s="26"/>
      <c r="X41" s="27"/>
      <c r="Y41" s="26"/>
      <c r="Z41" s="26"/>
      <c r="AA41" s="26"/>
      <c r="AB41" s="26"/>
      <c r="AC41" s="26"/>
      <c r="AD41" s="26"/>
      <c r="AE41" s="27"/>
      <c r="AF41" s="28"/>
    </row>
    <row r="42" spans="1:32" ht="13.2" x14ac:dyDescent="0.25">
      <c r="A42" s="33">
        <v>39</v>
      </c>
      <c r="B42" s="26"/>
      <c r="C42" s="26"/>
      <c r="D42" s="26"/>
      <c r="E42" s="27"/>
      <c r="F42" s="26"/>
      <c r="G42" s="26"/>
      <c r="H42" s="27"/>
      <c r="I42" s="26"/>
      <c r="J42" s="26"/>
      <c r="K42" s="26"/>
      <c r="L42" s="26"/>
      <c r="M42" s="27"/>
      <c r="N42" s="26"/>
      <c r="O42" s="26"/>
      <c r="P42" s="26"/>
      <c r="Q42" s="27"/>
      <c r="R42" s="26"/>
      <c r="S42" s="26"/>
      <c r="T42" s="26"/>
      <c r="U42" s="26"/>
      <c r="V42" s="26"/>
      <c r="W42" s="26"/>
      <c r="X42" s="27"/>
      <c r="Y42" s="26"/>
      <c r="Z42" s="26"/>
      <c r="AA42" s="26"/>
      <c r="AB42" s="26"/>
      <c r="AC42" s="26"/>
      <c r="AD42" s="26"/>
      <c r="AE42" s="27"/>
      <c r="AF42" s="28"/>
    </row>
    <row r="43" spans="1:32" ht="13.2" x14ac:dyDescent="0.25">
      <c r="A43" s="33">
        <v>40</v>
      </c>
      <c r="B43" s="26"/>
      <c r="C43" s="26"/>
      <c r="D43" s="26"/>
      <c r="E43" s="27"/>
      <c r="F43" s="26"/>
      <c r="G43" s="26"/>
      <c r="H43" s="27"/>
      <c r="I43" s="26"/>
      <c r="J43" s="26"/>
      <c r="K43" s="26"/>
      <c r="L43" s="26"/>
      <c r="M43" s="27"/>
      <c r="N43" s="26"/>
      <c r="O43" s="26"/>
      <c r="P43" s="26"/>
      <c r="Q43" s="27"/>
      <c r="R43" s="26"/>
      <c r="S43" s="26"/>
      <c r="T43" s="26"/>
      <c r="U43" s="26"/>
      <c r="V43" s="26"/>
      <c r="W43" s="26"/>
      <c r="X43" s="27"/>
      <c r="Y43" s="26"/>
      <c r="Z43" s="26"/>
      <c r="AA43" s="26"/>
      <c r="AB43" s="26"/>
      <c r="AC43" s="26"/>
      <c r="AD43" s="26"/>
      <c r="AE43" s="27"/>
      <c r="AF43" s="28"/>
    </row>
    <row r="44" spans="1:32" ht="13.2" x14ac:dyDescent="0.25">
      <c r="A44" s="33">
        <v>41</v>
      </c>
      <c r="B44" s="26"/>
      <c r="C44" s="26"/>
      <c r="D44" s="26"/>
      <c r="E44" s="26"/>
      <c r="F44" s="26"/>
      <c r="G44" s="26"/>
      <c r="H44" s="27"/>
      <c r="I44" s="26"/>
      <c r="J44" s="26"/>
      <c r="K44" s="26"/>
      <c r="L44" s="26"/>
      <c r="M44" s="27"/>
      <c r="N44" s="26"/>
      <c r="O44" s="26"/>
      <c r="P44" s="26"/>
      <c r="Q44" s="27"/>
      <c r="R44" s="26"/>
      <c r="S44" s="26"/>
      <c r="T44" s="26"/>
      <c r="U44" s="26"/>
      <c r="V44" s="26"/>
      <c r="W44" s="26"/>
      <c r="X44" s="27"/>
      <c r="Y44" s="26"/>
      <c r="Z44" s="26"/>
      <c r="AA44" s="26"/>
      <c r="AB44" s="26"/>
      <c r="AC44" s="26"/>
      <c r="AD44" s="26"/>
      <c r="AE44" s="27"/>
      <c r="AF44" s="28"/>
    </row>
    <row r="45" spans="1:32" ht="13.2" x14ac:dyDescent="0.25">
      <c r="A45" s="33">
        <v>42</v>
      </c>
      <c r="B45" s="26"/>
      <c r="C45" s="26"/>
      <c r="D45" s="26"/>
      <c r="E45" s="27"/>
      <c r="F45" s="26"/>
      <c r="G45" s="26"/>
      <c r="H45" s="27"/>
      <c r="I45" s="26"/>
      <c r="J45" s="26"/>
      <c r="K45" s="26"/>
      <c r="L45" s="26"/>
      <c r="M45" s="27"/>
      <c r="N45" s="26"/>
      <c r="O45" s="26"/>
      <c r="P45" s="26"/>
      <c r="Q45" s="27"/>
      <c r="R45" s="26"/>
      <c r="S45" s="26"/>
      <c r="T45" s="26"/>
      <c r="U45" s="26"/>
      <c r="V45" s="26"/>
      <c r="W45" s="26"/>
      <c r="X45" s="27"/>
      <c r="Y45" s="26"/>
      <c r="Z45" s="26"/>
      <c r="AA45" s="26"/>
      <c r="AB45" s="26"/>
      <c r="AC45" s="26"/>
      <c r="AD45" s="26"/>
      <c r="AE45" s="27"/>
      <c r="AF45" s="28"/>
    </row>
    <row r="46" spans="1:32" ht="13.2" x14ac:dyDescent="0.25">
      <c r="A46" s="33">
        <v>43</v>
      </c>
      <c r="B46" s="26"/>
      <c r="C46" s="26"/>
      <c r="D46" s="26"/>
      <c r="E46" s="27"/>
      <c r="F46" s="26"/>
      <c r="G46" s="26"/>
      <c r="H46" s="27"/>
      <c r="I46" s="26"/>
      <c r="J46" s="26"/>
      <c r="K46" s="26"/>
      <c r="L46" s="26"/>
      <c r="M46" s="27"/>
      <c r="N46" s="26"/>
      <c r="O46" s="26"/>
      <c r="P46" s="26"/>
      <c r="Q46" s="27"/>
      <c r="R46" s="26"/>
      <c r="S46" s="26"/>
      <c r="T46" s="26"/>
      <c r="U46" s="26"/>
      <c r="V46" s="26"/>
      <c r="W46" s="26"/>
      <c r="X46" s="27"/>
      <c r="Y46" s="26"/>
      <c r="Z46" s="26"/>
      <c r="AA46" s="26"/>
      <c r="AB46" s="26"/>
      <c r="AC46" s="26"/>
      <c r="AD46" s="26"/>
      <c r="AE46" s="27"/>
      <c r="AF46" s="28"/>
    </row>
    <row r="47" spans="1:32" ht="13.2" x14ac:dyDescent="0.25">
      <c r="A47" s="33">
        <v>44</v>
      </c>
      <c r="B47" s="26"/>
      <c r="C47" s="26"/>
      <c r="D47" s="26"/>
      <c r="E47" s="27"/>
      <c r="F47" s="26"/>
      <c r="G47" s="26"/>
      <c r="H47" s="27"/>
      <c r="I47" s="26"/>
      <c r="J47" s="26"/>
      <c r="K47" s="26"/>
      <c r="L47" s="26"/>
      <c r="M47" s="27"/>
      <c r="N47" s="26"/>
      <c r="O47" s="26"/>
      <c r="P47" s="26"/>
      <c r="Q47" s="27"/>
      <c r="R47" s="26"/>
      <c r="S47" s="26"/>
      <c r="T47" s="26"/>
      <c r="U47" s="26"/>
      <c r="V47" s="26"/>
      <c r="W47" s="26"/>
      <c r="X47" s="27"/>
      <c r="Y47" s="26"/>
      <c r="Z47" s="26"/>
      <c r="AA47" s="26"/>
      <c r="AB47" s="26"/>
      <c r="AC47" s="26"/>
      <c r="AD47" s="26"/>
      <c r="AE47" s="27"/>
      <c r="AF47" s="28"/>
    </row>
    <row r="48" spans="1:32" ht="13.2" x14ac:dyDescent="0.25">
      <c r="A48" s="33">
        <v>45</v>
      </c>
      <c r="B48" s="26"/>
      <c r="C48" s="26"/>
      <c r="D48" s="26"/>
      <c r="E48" s="26"/>
      <c r="F48" s="26"/>
      <c r="G48" s="26"/>
      <c r="H48" s="26"/>
      <c r="I48" s="26"/>
      <c r="J48" s="26"/>
      <c r="K48" s="26"/>
      <c r="L48" s="26"/>
      <c r="M48" s="27"/>
      <c r="N48" s="26"/>
      <c r="O48" s="26"/>
      <c r="P48" s="26"/>
      <c r="Q48" s="27"/>
      <c r="R48" s="26"/>
      <c r="S48" s="26"/>
      <c r="T48" s="26"/>
      <c r="U48" s="26"/>
      <c r="V48" s="26"/>
      <c r="W48" s="26"/>
      <c r="X48" s="27"/>
      <c r="Y48" s="26"/>
      <c r="Z48" s="26"/>
      <c r="AA48" s="26"/>
      <c r="AB48" s="26"/>
      <c r="AC48" s="26"/>
      <c r="AD48" s="26"/>
      <c r="AE48" s="27"/>
      <c r="AF48" s="28"/>
    </row>
    <row r="49" spans="1:32" ht="13.2" x14ac:dyDescent="0.25">
      <c r="A49" s="33">
        <v>46</v>
      </c>
      <c r="B49" s="26"/>
      <c r="C49" s="26"/>
      <c r="D49" s="26"/>
      <c r="E49" s="26"/>
      <c r="F49" s="26"/>
      <c r="G49" s="26"/>
      <c r="H49" s="27"/>
      <c r="I49" s="26"/>
      <c r="J49" s="26"/>
      <c r="K49" s="26"/>
      <c r="L49" s="26"/>
      <c r="M49" s="26"/>
      <c r="N49" s="26"/>
      <c r="O49" s="26"/>
      <c r="P49" s="26"/>
      <c r="Q49" s="26"/>
      <c r="R49" s="26"/>
      <c r="S49" s="26"/>
      <c r="T49" s="26"/>
      <c r="U49" s="26"/>
      <c r="V49" s="26"/>
      <c r="W49" s="26"/>
      <c r="X49" s="27"/>
      <c r="Y49" s="26"/>
      <c r="Z49" s="26"/>
      <c r="AA49" s="26"/>
      <c r="AB49" s="26"/>
      <c r="AC49" s="26"/>
      <c r="AD49" s="26"/>
      <c r="AE49" s="27"/>
      <c r="AF49" s="28"/>
    </row>
    <row r="50" spans="1:32" ht="13.2" x14ac:dyDescent="0.25">
      <c r="A50" s="33">
        <v>47</v>
      </c>
      <c r="B50" s="26"/>
      <c r="C50" s="26"/>
      <c r="D50" s="26"/>
      <c r="E50" s="27"/>
      <c r="F50" s="26"/>
      <c r="G50" s="26"/>
      <c r="H50" s="27"/>
      <c r="I50" s="26"/>
      <c r="J50" s="26"/>
      <c r="K50" s="26"/>
      <c r="L50" s="26"/>
      <c r="M50" s="27"/>
      <c r="N50" s="26"/>
      <c r="O50" s="26"/>
      <c r="P50" s="26"/>
      <c r="Q50" s="27"/>
      <c r="R50" s="26"/>
      <c r="S50" s="26"/>
      <c r="T50" s="26"/>
      <c r="U50" s="26"/>
      <c r="V50" s="26"/>
      <c r="W50" s="26"/>
      <c r="X50" s="27"/>
      <c r="Y50" s="26"/>
      <c r="Z50" s="26"/>
      <c r="AA50" s="26"/>
      <c r="AB50" s="26"/>
      <c r="AC50" s="26"/>
      <c r="AD50" s="26"/>
      <c r="AE50" s="27"/>
      <c r="AF50" s="28"/>
    </row>
    <row r="51" spans="1:32" ht="13.2" x14ac:dyDescent="0.25">
      <c r="A51" s="33">
        <v>48</v>
      </c>
      <c r="B51" s="26"/>
      <c r="C51" s="26"/>
      <c r="D51" s="26"/>
      <c r="E51" s="27"/>
      <c r="F51" s="26"/>
      <c r="G51" s="26"/>
      <c r="H51" s="27"/>
      <c r="I51" s="26"/>
      <c r="J51" s="26"/>
      <c r="K51" s="26"/>
      <c r="L51" s="26"/>
      <c r="M51" s="27"/>
      <c r="N51" s="26"/>
      <c r="O51" s="26"/>
      <c r="P51" s="26"/>
      <c r="Q51" s="27"/>
      <c r="R51" s="26"/>
      <c r="S51" s="26"/>
      <c r="T51" s="26"/>
      <c r="U51" s="26"/>
      <c r="V51" s="26"/>
      <c r="W51" s="26"/>
      <c r="X51" s="27"/>
      <c r="Y51" s="26"/>
      <c r="Z51" s="26"/>
      <c r="AA51" s="26"/>
      <c r="AB51" s="26"/>
      <c r="AC51" s="26"/>
      <c r="AD51" s="26"/>
      <c r="AE51" s="27"/>
      <c r="AF51" s="28"/>
    </row>
    <row r="52" spans="1:32" ht="13.2" x14ac:dyDescent="0.25">
      <c r="A52" s="33">
        <v>49</v>
      </c>
      <c r="B52" s="26"/>
      <c r="C52" s="26"/>
      <c r="D52" s="26"/>
      <c r="E52" s="27"/>
      <c r="F52" s="26"/>
      <c r="G52" s="26"/>
      <c r="H52" s="27"/>
      <c r="I52" s="26"/>
      <c r="J52" s="26"/>
      <c r="K52" s="26"/>
      <c r="L52" s="26"/>
      <c r="M52" s="27"/>
      <c r="N52" s="26"/>
      <c r="O52" s="26"/>
      <c r="P52" s="26"/>
      <c r="Q52" s="27"/>
      <c r="R52" s="26"/>
      <c r="S52" s="26"/>
      <c r="T52" s="26"/>
      <c r="U52" s="26"/>
      <c r="V52" s="26"/>
      <c r="W52" s="26"/>
      <c r="X52" s="27"/>
      <c r="Y52" s="26"/>
      <c r="Z52" s="26"/>
      <c r="AA52" s="26"/>
      <c r="AB52" s="26"/>
      <c r="AC52" s="26"/>
      <c r="AD52" s="26"/>
      <c r="AE52" s="27"/>
      <c r="AF52" s="28"/>
    </row>
    <row r="53" spans="1:32" ht="13.2" x14ac:dyDescent="0.25">
      <c r="A53" s="33">
        <v>50</v>
      </c>
      <c r="B53" s="26"/>
      <c r="C53" s="26"/>
      <c r="D53" s="26"/>
      <c r="E53" s="26"/>
      <c r="F53" s="26"/>
      <c r="G53" s="26"/>
      <c r="H53" s="27"/>
      <c r="I53" s="26"/>
      <c r="J53" s="26"/>
      <c r="K53" s="26"/>
      <c r="L53" s="26"/>
      <c r="M53" s="27"/>
      <c r="N53" s="26"/>
      <c r="O53" s="26"/>
      <c r="P53" s="26"/>
      <c r="Q53" s="27"/>
      <c r="R53" s="26"/>
      <c r="S53" s="26"/>
      <c r="T53" s="26"/>
      <c r="U53" s="26"/>
      <c r="V53" s="26"/>
      <c r="W53" s="26"/>
      <c r="X53" s="27"/>
      <c r="Y53" s="26"/>
      <c r="Z53" s="26"/>
      <c r="AA53" s="26"/>
      <c r="AB53" s="26"/>
      <c r="AC53" s="26"/>
      <c r="AD53" s="26"/>
      <c r="AE53" s="27"/>
      <c r="AF53" s="28"/>
    </row>
    <row r="54" spans="1:32" ht="13.2" x14ac:dyDescent="0.25">
      <c r="A54" s="33">
        <v>51</v>
      </c>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8"/>
    </row>
    <row r="55" spans="1:32" ht="13.2" x14ac:dyDescent="0.25">
      <c r="A55" s="33">
        <v>52</v>
      </c>
      <c r="B55" s="26"/>
      <c r="C55" s="26"/>
      <c r="D55" s="26"/>
      <c r="E55" s="27"/>
      <c r="F55" s="26"/>
      <c r="G55" s="26"/>
      <c r="H55" s="27"/>
      <c r="I55" s="26"/>
      <c r="J55" s="26"/>
      <c r="K55" s="26"/>
      <c r="L55" s="26"/>
      <c r="M55" s="27"/>
      <c r="N55" s="26"/>
      <c r="O55" s="26"/>
      <c r="P55" s="26"/>
      <c r="Q55" s="27"/>
      <c r="R55" s="26"/>
      <c r="S55" s="26"/>
      <c r="T55" s="26"/>
      <c r="U55" s="26"/>
      <c r="V55" s="26"/>
      <c r="W55" s="26"/>
      <c r="X55" s="27"/>
      <c r="Y55" s="26"/>
      <c r="Z55" s="26"/>
      <c r="AA55" s="26"/>
      <c r="AB55" s="26"/>
      <c r="AC55" s="26"/>
      <c r="AD55" s="26"/>
      <c r="AE55" s="27"/>
      <c r="AF55" s="28"/>
    </row>
    <row r="56" spans="1:32" ht="13.2" x14ac:dyDescent="0.25">
      <c r="A56" s="33">
        <v>53</v>
      </c>
      <c r="B56" s="26"/>
      <c r="C56" s="26"/>
      <c r="D56" s="26"/>
      <c r="E56" s="27"/>
      <c r="F56" s="26"/>
      <c r="G56" s="26"/>
      <c r="H56" s="27"/>
      <c r="I56" s="26"/>
      <c r="J56" s="26"/>
      <c r="K56" s="26"/>
      <c r="L56" s="26"/>
      <c r="M56" s="27"/>
      <c r="N56" s="26"/>
      <c r="O56" s="26"/>
      <c r="P56" s="26"/>
      <c r="Q56" s="27"/>
      <c r="R56" s="26"/>
      <c r="S56" s="26"/>
      <c r="T56" s="26"/>
      <c r="U56" s="26"/>
      <c r="V56" s="26"/>
      <c r="W56" s="26"/>
      <c r="X56" s="27"/>
      <c r="Y56" s="26"/>
      <c r="Z56" s="26"/>
      <c r="AA56" s="26"/>
      <c r="AB56" s="26"/>
      <c r="AC56" s="26"/>
      <c r="AD56" s="26"/>
      <c r="AE56" s="27"/>
      <c r="AF56" s="28"/>
    </row>
    <row r="57" spans="1:32" ht="13.2" x14ac:dyDescent="0.25">
      <c r="A57" s="33">
        <v>54</v>
      </c>
      <c r="B57" s="26"/>
      <c r="C57" s="26"/>
      <c r="D57" s="26"/>
      <c r="E57" s="27"/>
      <c r="F57" s="26"/>
      <c r="G57" s="26"/>
      <c r="H57" s="27"/>
      <c r="I57" s="26"/>
      <c r="J57" s="26"/>
      <c r="K57" s="26"/>
      <c r="L57" s="26"/>
      <c r="M57" s="27"/>
      <c r="N57" s="26"/>
      <c r="O57" s="26"/>
      <c r="P57" s="26"/>
      <c r="Q57" s="27"/>
      <c r="R57" s="26"/>
      <c r="S57" s="26"/>
      <c r="T57" s="26"/>
      <c r="U57" s="26"/>
      <c r="V57" s="26"/>
      <c r="W57" s="26"/>
      <c r="X57" s="27"/>
      <c r="Y57" s="26"/>
      <c r="Z57" s="26"/>
      <c r="AA57" s="26"/>
      <c r="AB57" s="26"/>
      <c r="AC57" s="26"/>
      <c r="AD57" s="26"/>
      <c r="AE57" s="27"/>
      <c r="AF57" s="28"/>
    </row>
    <row r="58" spans="1:32" ht="13.2" x14ac:dyDescent="0.25">
      <c r="A58" s="33">
        <v>55</v>
      </c>
      <c r="B58" s="26"/>
      <c r="C58" s="26"/>
      <c r="D58" s="26"/>
      <c r="E58" s="27"/>
      <c r="F58" s="26"/>
      <c r="G58" s="26"/>
      <c r="H58" s="27"/>
      <c r="I58" s="26"/>
      <c r="J58" s="26"/>
      <c r="K58" s="26"/>
      <c r="L58" s="26"/>
      <c r="M58" s="27"/>
      <c r="N58" s="26"/>
      <c r="O58" s="26"/>
      <c r="P58" s="26"/>
      <c r="Q58" s="27"/>
      <c r="R58" s="26"/>
      <c r="S58" s="26"/>
      <c r="T58" s="26"/>
      <c r="U58" s="26"/>
      <c r="V58" s="26"/>
      <c r="W58" s="26"/>
      <c r="X58" s="27"/>
      <c r="Y58" s="26"/>
      <c r="Z58" s="26"/>
      <c r="AA58" s="26"/>
      <c r="AB58" s="26"/>
      <c r="AC58" s="26"/>
      <c r="AD58" s="26"/>
      <c r="AE58" s="27"/>
      <c r="AF58" s="28"/>
    </row>
    <row r="59" spans="1:32" ht="13.2" x14ac:dyDescent="0.25">
      <c r="A59" s="33">
        <v>56</v>
      </c>
      <c r="B59" s="26"/>
      <c r="C59" s="26"/>
      <c r="D59" s="26"/>
      <c r="E59" s="27"/>
      <c r="F59" s="26"/>
      <c r="G59" s="26"/>
      <c r="H59" s="27"/>
      <c r="I59" s="26"/>
      <c r="J59" s="26"/>
      <c r="K59" s="26"/>
      <c r="L59" s="26"/>
      <c r="M59" s="27"/>
      <c r="N59" s="26"/>
      <c r="O59" s="26"/>
      <c r="P59" s="26"/>
      <c r="Q59" s="27"/>
      <c r="R59" s="26"/>
      <c r="S59" s="26"/>
      <c r="T59" s="26"/>
      <c r="U59" s="26"/>
      <c r="V59" s="26"/>
      <c r="W59" s="26"/>
      <c r="X59" s="27"/>
      <c r="Y59" s="26"/>
      <c r="Z59" s="26"/>
      <c r="AA59" s="26"/>
      <c r="AB59" s="26"/>
      <c r="AC59" s="26"/>
      <c r="AD59" s="26"/>
      <c r="AE59" s="27"/>
      <c r="AF59" s="28"/>
    </row>
    <row r="60" spans="1:32" ht="13.2" x14ac:dyDescent="0.25">
      <c r="A60" s="33">
        <v>57</v>
      </c>
      <c r="B60" s="26"/>
      <c r="C60" s="26"/>
      <c r="D60" s="26"/>
      <c r="E60" s="27"/>
      <c r="F60" s="26"/>
      <c r="G60" s="26"/>
      <c r="H60" s="27"/>
      <c r="I60" s="26"/>
      <c r="J60" s="26"/>
      <c r="K60" s="26"/>
      <c r="L60" s="26"/>
      <c r="M60" s="27"/>
      <c r="N60" s="26"/>
      <c r="O60" s="26"/>
      <c r="P60" s="26"/>
      <c r="Q60" s="27"/>
      <c r="R60" s="26"/>
      <c r="S60" s="26"/>
      <c r="T60" s="26"/>
      <c r="U60" s="26"/>
      <c r="V60" s="26"/>
      <c r="W60" s="26"/>
      <c r="X60" s="26"/>
      <c r="Y60" s="26"/>
      <c r="Z60" s="26"/>
      <c r="AA60" s="26"/>
      <c r="AB60" s="26"/>
      <c r="AC60" s="26"/>
      <c r="AD60" s="26"/>
      <c r="AE60" s="27"/>
      <c r="AF60" s="28"/>
    </row>
    <row r="61" spans="1:32" ht="13.2" x14ac:dyDescent="0.25">
      <c r="A61" s="33">
        <v>58</v>
      </c>
      <c r="B61" s="26"/>
      <c r="C61" s="26"/>
      <c r="D61" s="26"/>
      <c r="E61" s="27"/>
      <c r="F61" s="26"/>
      <c r="G61" s="26"/>
      <c r="H61" s="27"/>
      <c r="I61" s="26"/>
      <c r="J61" s="26"/>
      <c r="K61" s="26"/>
      <c r="L61" s="26"/>
      <c r="M61" s="27"/>
      <c r="N61" s="26"/>
      <c r="O61" s="26"/>
      <c r="P61" s="26"/>
      <c r="Q61" s="27"/>
      <c r="R61" s="26"/>
      <c r="S61" s="26"/>
      <c r="T61" s="26"/>
      <c r="U61" s="26"/>
      <c r="V61" s="26"/>
      <c r="W61" s="26"/>
      <c r="X61" s="27"/>
      <c r="Y61" s="26"/>
      <c r="Z61" s="26"/>
      <c r="AA61" s="26"/>
      <c r="AB61" s="26"/>
      <c r="AC61" s="26"/>
      <c r="AD61" s="26"/>
      <c r="AE61" s="27"/>
      <c r="AF61" s="28"/>
    </row>
    <row r="62" spans="1:32" ht="13.2" x14ac:dyDescent="0.25">
      <c r="A62" s="33">
        <v>59</v>
      </c>
      <c r="B62" s="26"/>
      <c r="C62" s="26"/>
      <c r="D62" s="26"/>
      <c r="E62" s="27"/>
      <c r="F62" s="26"/>
      <c r="G62" s="26"/>
      <c r="H62" s="27"/>
      <c r="I62" s="26"/>
      <c r="J62" s="26"/>
      <c r="K62" s="26"/>
      <c r="L62" s="26"/>
      <c r="M62" s="27"/>
      <c r="N62" s="26"/>
      <c r="O62" s="26"/>
      <c r="P62" s="26"/>
      <c r="Q62" s="27"/>
      <c r="R62" s="26"/>
      <c r="S62" s="26"/>
      <c r="T62" s="26"/>
      <c r="U62" s="26"/>
      <c r="V62" s="26"/>
      <c r="W62" s="26"/>
      <c r="X62" s="27"/>
      <c r="Y62" s="26"/>
      <c r="Z62" s="26"/>
      <c r="AA62" s="26"/>
      <c r="AB62" s="26"/>
      <c r="AC62" s="26"/>
      <c r="AD62" s="26"/>
      <c r="AE62" s="27"/>
      <c r="AF62" s="29"/>
    </row>
    <row r="63" spans="1:32" ht="13.2" x14ac:dyDescent="0.25">
      <c r="A63" s="33">
        <v>60</v>
      </c>
      <c r="B63" s="26"/>
      <c r="C63" s="26"/>
      <c r="D63" s="26"/>
      <c r="E63" s="26"/>
      <c r="F63" s="26"/>
      <c r="G63" s="26"/>
      <c r="H63" s="27"/>
      <c r="I63" s="26"/>
      <c r="J63" s="26"/>
      <c r="K63" s="26"/>
      <c r="L63" s="26"/>
      <c r="M63" s="27"/>
      <c r="N63" s="26"/>
      <c r="O63" s="26"/>
      <c r="P63" s="26"/>
      <c r="Q63" s="27"/>
      <c r="R63" s="26"/>
      <c r="S63" s="26"/>
      <c r="T63" s="26"/>
      <c r="U63" s="26"/>
      <c r="V63" s="26"/>
      <c r="W63" s="26"/>
      <c r="X63" s="27"/>
      <c r="Y63" s="26"/>
      <c r="Z63" s="26"/>
      <c r="AA63" s="26"/>
      <c r="AB63" s="26"/>
      <c r="AC63" s="26"/>
      <c r="AD63" s="26"/>
      <c r="AE63" s="27"/>
      <c r="AF63" s="29"/>
    </row>
    <row r="64" spans="1:32" ht="13.2" x14ac:dyDescent="0.25">
      <c r="A64" s="33">
        <v>61</v>
      </c>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9"/>
    </row>
    <row r="65" spans="1:32" ht="13.2" x14ac:dyDescent="0.25">
      <c r="A65" s="33">
        <v>62</v>
      </c>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9"/>
    </row>
    <row r="66" spans="1:32" ht="13.2" x14ac:dyDescent="0.25">
      <c r="A66" s="33">
        <v>63</v>
      </c>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9"/>
    </row>
    <row r="67" spans="1:32" ht="13.2" x14ac:dyDescent="0.25">
      <c r="A67" s="33">
        <v>64</v>
      </c>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9"/>
    </row>
    <row r="68" spans="1:32" ht="13.2" x14ac:dyDescent="0.25">
      <c r="A68" s="33">
        <v>65</v>
      </c>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9"/>
    </row>
    <row r="69" spans="1:32" ht="15.6" customHeight="1" x14ac:dyDescent="0.25">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row>
  </sheetData>
  <mergeCells count="13">
    <mergeCell ref="B1:D1"/>
    <mergeCell ref="AF1:AF2"/>
    <mergeCell ref="E1:E2"/>
    <mergeCell ref="F1:G1"/>
    <mergeCell ref="H1:H2"/>
    <mergeCell ref="I1:L1"/>
    <mergeCell ref="M1:M2"/>
    <mergeCell ref="N1:P1"/>
    <mergeCell ref="Q1:Q2"/>
    <mergeCell ref="R1:W1"/>
    <mergeCell ref="X1:X2"/>
    <mergeCell ref="Y1:AD1"/>
    <mergeCell ref="AE1:AE2"/>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58"/>
  <sheetViews>
    <sheetView workbookViewId="0">
      <selection activeCell="C6" sqref="C6:E6"/>
    </sheetView>
  </sheetViews>
  <sheetFormatPr defaultRowHeight="13.2" x14ac:dyDescent="0.25"/>
  <cols>
    <col min="1" max="1" width="8.88671875" style="1"/>
    <col min="2" max="2" width="17.77734375" style="7" customWidth="1"/>
    <col min="3" max="8" width="8.88671875" style="5"/>
    <col min="9" max="16384" width="8.88671875" style="1"/>
  </cols>
  <sheetData>
    <row r="1" spans="2:10" ht="13.8" thickBot="1" x14ac:dyDescent="0.3"/>
    <row r="2" spans="2:10" ht="13.2" customHeight="1" x14ac:dyDescent="0.25">
      <c r="C2" s="55" t="s">
        <v>90</v>
      </c>
      <c r="D2" s="56"/>
      <c r="E2" s="56"/>
      <c r="F2" s="53">
        <f>65-COUNTIF(Input!B4:B68,"")</f>
        <v>34</v>
      </c>
    </row>
    <row r="3" spans="2:10" ht="13.8" customHeight="1" thickBot="1" x14ac:dyDescent="0.3">
      <c r="C3" s="57"/>
      <c r="D3" s="58"/>
      <c r="E3" s="58"/>
      <c r="F3" s="54"/>
    </row>
    <row r="4" spans="2:10" ht="13.8" x14ac:dyDescent="0.25">
      <c r="C4" s="40"/>
      <c r="D4" s="40"/>
      <c r="E4" s="40"/>
      <c r="F4" s="40"/>
    </row>
    <row r="5" spans="2:10" x14ac:dyDescent="0.25">
      <c r="B5" s="4" t="s">
        <v>74</v>
      </c>
      <c r="C5" s="51" t="s">
        <v>75</v>
      </c>
      <c r="D5" s="51"/>
      <c r="E5" s="51"/>
      <c r="F5" s="51"/>
      <c r="G5" s="51"/>
      <c r="H5" s="51"/>
    </row>
    <row r="6" spans="2:10" x14ac:dyDescent="0.25">
      <c r="C6" s="52"/>
      <c r="D6" s="52"/>
      <c r="E6" s="52"/>
      <c r="F6" s="52"/>
      <c r="G6" s="52"/>
      <c r="H6" s="52"/>
      <c r="I6" s="52"/>
      <c r="J6" s="52"/>
    </row>
    <row r="7" spans="2:10" x14ac:dyDescent="0.25">
      <c r="B7" s="50" t="str">
        <f>Input!B1</f>
        <v>Course Content and Organization</v>
      </c>
      <c r="C7" s="50"/>
      <c r="D7" s="50"/>
      <c r="E7" s="50"/>
      <c r="F7" s="50"/>
      <c r="G7" s="50"/>
      <c r="H7" s="50"/>
      <c r="I7" s="10"/>
      <c r="J7" s="10"/>
    </row>
    <row r="8" spans="2:10" s="3" customFormat="1" x14ac:dyDescent="0.25">
      <c r="B8" s="4"/>
      <c r="C8" s="6" t="str">
        <f>Input!B3</f>
        <v>Q. 1</v>
      </c>
      <c r="D8" s="6" t="str">
        <f>Input!C3</f>
        <v>Q. 2</v>
      </c>
      <c r="E8" s="6" t="str">
        <f>Input!D3</f>
        <v>Q. 3</v>
      </c>
      <c r="F8" s="12"/>
      <c r="G8" s="12"/>
      <c r="H8" s="12"/>
    </row>
    <row r="9" spans="2:10" x14ac:dyDescent="0.25">
      <c r="B9" s="4" t="s">
        <v>2</v>
      </c>
      <c r="C9" s="42">
        <f>COUNTIF(Input!B$4:'Input'!B$68, "Strongly Agree")/$F$2*100</f>
        <v>70.588235294117652</v>
      </c>
      <c r="D9" s="42">
        <f>COUNTIF(Input!C$4:'Input'!C$68, "Strongly Agree")/$F$2*100</f>
        <v>58.82352941176471</v>
      </c>
      <c r="E9" s="42">
        <f>COUNTIF(Input!D$4:'Input'!D$68, "Strongly Agree")/$F$2*100</f>
        <v>64.705882352941174</v>
      </c>
      <c r="F9" s="41"/>
      <c r="G9" s="41"/>
      <c r="H9" s="41"/>
    </row>
    <row r="10" spans="2:10" x14ac:dyDescent="0.25">
      <c r="B10" s="4" t="s">
        <v>0</v>
      </c>
      <c r="C10" s="42">
        <f>COUNTIF(Input!B$4:'Input'!B$68, "Agree")/$F$2*100</f>
        <v>26.47058823529412</v>
      </c>
      <c r="D10" s="42">
        <f>COUNTIF(Input!C$4:'Input'!C$68, "Agree")/$F$2*100</f>
        <v>35.294117647058826</v>
      </c>
      <c r="E10" s="42">
        <f>COUNTIF(Input!D$4:'Input'!D$68, "Agree")/$F$2*100</f>
        <v>26.47058823529412</v>
      </c>
      <c r="F10" s="41"/>
      <c r="G10" s="41"/>
      <c r="H10" s="41"/>
    </row>
    <row r="11" spans="2:10" x14ac:dyDescent="0.25">
      <c r="B11" s="4" t="s">
        <v>3</v>
      </c>
      <c r="C11" s="42">
        <f>COUNTIF(Input!B$4:B$68, "Neutral")/$F$2*100</f>
        <v>0</v>
      </c>
      <c r="D11" s="42">
        <f>COUNTIF(Input!C$4:C$68, "Neutral")/$F$2*100</f>
        <v>0</v>
      </c>
      <c r="E11" s="42">
        <f>COUNTIF(Input!D$4:D$68, "Neutral")/$F$2*100</f>
        <v>5.8823529411764701</v>
      </c>
      <c r="F11" s="41"/>
      <c r="G11" s="41"/>
      <c r="H11" s="41"/>
    </row>
    <row r="12" spans="2:10" x14ac:dyDescent="0.25">
      <c r="B12" s="4" t="s">
        <v>1</v>
      </c>
      <c r="C12" s="42">
        <f>COUNTIF(Input!B$4:'Input'!B$68, "Disagree")/$F$2*100</f>
        <v>0</v>
      </c>
      <c r="D12" s="42">
        <f>COUNTIF(Input!C$4:'Input'!C$68, "Disagree")/$F$2*100</f>
        <v>5.8823529411764701</v>
      </c>
      <c r="E12" s="42">
        <f>COUNTIF(Input!D$4:'Input'!D$68, "Disagree")/$F$2*100</f>
        <v>2.9411764705882351</v>
      </c>
      <c r="F12" s="41"/>
      <c r="G12" s="41"/>
      <c r="H12" s="41"/>
    </row>
    <row r="13" spans="2:10" x14ac:dyDescent="0.25">
      <c r="B13" s="4" t="s">
        <v>4</v>
      </c>
      <c r="C13" s="42">
        <f>COUNTIF(Input!B$4:'Input'!B$68, "Strongly Disagree")/$F$2*100</f>
        <v>2.9411764705882351</v>
      </c>
      <c r="D13" s="42">
        <f>COUNTIF(Input!C$4:'Input'!C$68, "Strongly Disagree")/$F$2*100</f>
        <v>0</v>
      </c>
      <c r="E13" s="42">
        <f>COUNTIF(Input!D$4:'Input'!D$68, "Strongly Disagree")/$F$2*100</f>
        <v>0</v>
      </c>
      <c r="F13" s="41"/>
      <c r="G13" s="41"/>
      <c r="H13" s="41"/>
    </row>
    <row r="16" spans="2:10" x14ac:dyDescent="0.25">
      <c r="B16" s="50" t="str">
        <f>Input!F1</f>
        <v>Student Contribution</v>
      </c>
      <c r="C16" s="50"/>
      <c r="D16" s="50"/>
      <c r="E16" s="50"/>
      <c r="F16" s="50"/>
      <c r="G16" s="50"/>
      <c r="H16" s="50"/>
    </row>
    <row r="17" spans="2:8" s="3" customFormat="1" x14ac:dyDescent="0.25">
      <c r="B17" s="4"/>
      <c r="C17" s="12" t="str">
        <f>Input!F3</f>
        <v>Q. 5</v>
      </c>
      <c r="D17" s="12" t="str">
        <f>Input!G3</f>
        <v>Q. 6</v>
      </c>
      <c r="E17" s="12"/>
      <c r="F17" s="12"/>
      <c r="G17" s="12"/>
      <c r="H17" s="12"/>
    </row>
    <row r="18" spans="2:8" x14ac:dyDescent="0.25">
      <c r="B18" s="4" t="s">
        <v>2</v>
      </c>
      <c r="C18" s="42">
        <f>COUNTIF(Input!F$4:'Input'!F$68, "Strongly Agree")/$F$2*100</f>
        <v>58.82352941176471</v>
      </c>
      <c r="D18" s="42">
        <f>COUNTIF(Input!G$4:'Input'!G$68, "Strongly Agree")/$F$2*100</f>
        <v>61.764705882352942</v>
      </c>
      <c r="E18" s="11"/>
      <c r="F18" s="11"/>
      <c r="G18" s="11"/>
      <c r="H18" s="11"/>
    </row>
    <row r="19" spans="2:8" x14ac:dyDescent="0.25">
      <c r="B19" s="4" t="s">
        <v>0</v>
      </c>
      <c r="C19" s="42">
        <f>COUNTIF(Input!F$4:'Input'!F$68, "Agree")/$F$2*100</f>
        <v>41.17647058823529</v>
      </c>
      <c r="D19" s="42">
        <f>COUNTIF(Input!G$4:'Input'!G$68, "Agree")/$F$2*100</f>
        <v>29.411764705882355</v>
      </c>
      <c r="E19" s="11"/>
      <c r="F19" s="11"/>
      <c r="G19" s="11"/>
      <c r="H19" s="11"/>
    </row>
    <row r="20" spans="2:8" x14ac:dyDescent="0.25">
      <c r="B20" s="4" t="s">
        <v>3</v>
      </c>
      <c r="C20" s="42">
        <f>COUNTIF(Input!F$4:F$68, "Neutral")/$F$2*100</f>
        <v>0</v>
      </c>
      <c r="D20" s="42">
        <f>COUNTIF(Input!G$4:G$68, "Neutral")/$F$2*100</f>
        <v>5.8823529411764701</v>
      </c>
      <c r="E20" s="11"/>
      <c r="F20" s="11"/>
      <c r="G20" s="11"/>
      <c r="H20" s="11"/>
    </row>
    <row r="21" spans="2:8" x14ac:dyDescent="0.25">
      <c r="B21" s="4" t="s">
        <v>1</v>
      </c>
      <c r="C21" s="42">
        <f>COUNTIF(Input!F$4:'Input'!F$68, "Disagree")/$F$2*100</f>
        <v>0</v>
      </c>
      <c r="D21" s="42">
        <f>COUNTIF(Input!G$4:'Input'!G$68, "Disagree")/$F$2*100</f>
        <v>2.9411764705882351</v>
      </c>
      <c r="E21" s="11"/>
      <c r="F21" s="11"/>
      <c r="G21" s="11"/>
      <c r="H21" s="11"/>
    </row>
    <row r="22" spans="2:8" x14ac:dyDescent="0.25">
      <c r="B22" s="4" t="s">
        <v>4</v>
      </c>
      <c r="C22" s="42">
        <f>COUNTIF(Input!F$4:'Input'!F$68, "Strongly Disagree")/$F$2*100</f>
        <v>0</v>
      </c>
      <c r="D22" s="42">
        <f>COUNTIF(Input!G$4:'Input'!G$68, "Strongly Disagree")/$F$2*100</f>
        <v>0</v>
      </c>
      <c r="E22" s="11"/>
      <c r="F22" s="11"/>
      <c r="G22" s="11"/>
      <c r="H22" s="11"/>
    </row>
    <row r="25" spans="2:8" x14ac:dyDescent="0.25">
      <c r="B25" s="50" t="str">
        <f>Input!I1</f>
        <v>Learning Environment and Teaching Methods</v>
      </c>
      <c r="C25" s="50"/>
      <c r="D25" s="50"/>
      <c r="E25" s="50"/>
      <c r="F25" s="50"/>
      <c r="G25" s="50"/>
      <c r="H25" s="50"/>
    </row>
    <row r="26" spans="2:8" s="3" customFormat="1" x14ac:dyDescent="0.25">
      <c r="B26" s="4"/>
      <c r="C26" s="12" t="str">
        <f>Input!I3</f>
        <v>Q. 8</v>
      </c>
      <c r="D26" s="12" t="str">
        <f>Input!J3</f>
        <v>Q. 9</v>
      </c>
      <c r="E26" s="12" t="str">
        <f>Input!K3</f>
        <v>Q. 10</v>
      </c>
      <c r="F26" s="12" t="str">
        <f>Input!L3</f>
        <v>Q. 11</v>
      </c>
      <c r="G26" s="12"/>
      <c r="H26" s="12"/>
    </row>
    <row r="27" spans="2:8" x14ac:dyDescent="0.25">
      <c r="B27" s="4" t="s">
        <v>2</v>
      </c>
      <c r="C27" s="42">
        <f>COUNTIF(Input!I$4:'Input'!I$68, "Strongly Agree")/$F$2*100</f>
        <v>61.764705882352942</v>
      </c>
      <c r="D27" s="42">
        <f>COUNTIF(Input!J$4:'Input'!J$68, "Strongly Agree")/$F$2*100</f>
        <v>64.705882352941174</v>
      </c>
      <c r="E27" s="42">
        <f>COUNTIF(Input!K$4:'Input'!K$68, "Strongly Agree")/$F$2*100</f>
        <v>64.705882352941174</v>
      </c>
      <c r="F27" s="42">
        <f>COUNTIF(Input!L$4:'Input'!L$68, "Strongly Agree")/$F$2*100</f>
        <v>61.764705882352942</v>
      </c>
      <c r="G27" s="11"/>
      <c r="H27" s="11"/>
    </row>
    <row r="28" spans="2:8" x14ac:dyDescent="0.25">
      <c r="B28" s="4" t="s">
        <v>0</v>
      </c>
      <c r="C28" s="42">
        <f>COUNTIF(Input!I$4:'Input'!I$68, "Agree")/$F$2*100</f>
        <v>29.411764705882355</v>
      </c>
      <c r="D28" s="42">
        <f>COUNTIF(Input!J$4:'Input'!J$68, "Agree")/$F$2*100</f>
        <v>23.52941176470588</v>
      </c>
      <c r="E28" s="42">
        <f>COUNTIF(Input!K$4:'Input'!K$68, "Agree")/$F$2*100</f>
        <v>29.411764705882355</v>
      </c>
      <c r="F28" s="42">
        <f>COUNTIF(Input!L$4:'Input'!L$68, "Agree")/$F$2*100</f>
        <v>32.352941176470587</v>
      </c>
      <c r="G28" s="11"/>
      <c r="H28" s="11"/>
    </row>
    <row r="29" spans="2:8" x14ac:dyDescent="0.25">
      <c r="B29" s="4" t="s">
        <v>3</v>
      </c>
      <c r="C29" s="42">
        <f>COUNTIF(Input!I$4:I$68, "Neutral")/$F$2*100</f>
        <v>5.8823529411764701</v>
      </c>
      <c r="D29" s="42">
        <f>COUNTIF(Input!J$4:J$68, "Neutral")/$F$2*100</f>
        <v>8.8235294117647065</v>
      </c>
      <c r="E29" s="42">
        <f>COUNTIF(Input!K$4:K$68, "Neutral")/$F$2*100</f>
        <v>0</v>
      </c>
      <c r="F29" s="42">
        <f>COUNTIF(Input!L$4:L$68, "Neutral")/$F$2*100</f>
        <v>0</v>
      </c>
      <c r="G29" s="11"/>
      <c r="H29" s="11"/>
    </row>
    <row r="30" spans="2:8" x14ac:dyDescent="0.25">
      <c r="B30" s="4" t="s">
        <v>1</v>
      </c>
      <c r="C30" s="42">
        <f>COUNTIF(Input!I$4:'Input'!I$68, "Disagree")/$F$2*100</f>
        <v>2.9411764705882351</v>
      </c>
      <c r="D30" s="42">
        <f>COUNTIF(Input!J$4:'Input'!J$68, "Disagree")/$F$2*100</f>
        <v>2.9411764705882351</v>
      </c>
      <c r="E30" s="42">
        <f>COUNTIF(Input!K$4:'Input'!K$68, "Disagree")/$F$2*100</f>
        <v>2.9411764705882351</v>
      </c>
      <c r="F30" s="42">
        <f>COUNTIF(Input!L$4:'Input'!L$68, "Disagree")/$F$2*100</f>
        <v>5.8823529411764701</v>
      </c>
      <c r="G30" s="11"/>
      <c r="H30" s="11"/>
    </row>
    <row r="31" spans="2:8" x14ac:dyDescent="0.25">
      <c r="B31" s="4" t="s">
        <v>4</v>
      </c>
      <c r="C31" s="42">
        <f>COUNTIF(Input!I$4:'Input'!I$68, "Strongly Disagree")/$F$2*100</f>
        <v>0</v>
      </c>
      <c r="D31" s="42">
        <f>COUNTIF(Input!J$4:'Input'!J$68, "Strongly Disagree")/$F$2*100</f>
        <v>0</v>
      </c>
      <c r="E31" s="42">
        <f>COUNTIF(Input!K$4:'Input'!K$68, "Strongly Disagree")/$F$2*100</f>
        <v>2.9411764705882351</v>
      </c>
      <c r="F31" s="42">
        <f>COUNTIF(Input!L$4:'Input'!L$68, "Strongly Disagree")/$F$2*100</f>
        <v>0</v>
      </c>
      <c r="G31" s="11"/>
      <c r="H31" s="11"/>
    </row>
    <row r="34" spans="2:8" x14ac:dyDescent="0.25">
      <c r="B34" s="50" t="str">
        <f>Input!N1</f>
        <v xml:space="preserve">Learning Resources </v>
      </c>
      <c r="C34" s="50"/>
      <c r="D34" s="50"/>
      <c r="E34" s="50"/>
      <c r="F34" s="50"/>
      <c r="G34" s="50"/>
      <c r="H34" s="50"/>
    </row>
    <row r="35" spans="2:8" s="3" customFormat="1" x14ac:dyDescent="0.25">
      <c r="B35" s="4"/>
      <c r="C35" s="12" t="str">
        <f>Input!N3</f>
        <v>Q. 13</v>
      </c>
      <c r="D35" s="12" t="str">
        <f>Input!O3</f>
        <v>Q. 14</v>
      </c>
      <c r="E35" s="12" t="str">
        <f>Input!P3</f>
        <v>Q. 15</v>
      </c>
      <c r="F35" s="12"/>
      <c r="G35" s="12"/>
      <c r="H35" s="12"/>
    </row>
    <row r="36" spans="2:8" x14ac:dyDescent="0.25">
      <c r="B36" s="4" t="s">
        <v>2</v>
      </c>
      <c r="C36" s="42">
        <f>COUNTIF(Input!N$4:'Input'!N$68, "Strongly Agree")/$F$2*100</f>
        <v>64.705882352941174</v>
      </c>
      <c r="D36" s="42">
        <f>COUNTIF(Input!O$4:'Input'!O$68, "Strongly Agree")/$F$2*100</f>
        <v>61.764705882352942</v>
      </c>
      <c r="E36" s="42">
        <f>COUNTIF(Input!P$4:'Input'!P$68, "Strongly Agree")/$F$2*100</f>
        <v>61.764705882352942</v>
      </c>
      <c r="F36" s="11"/>
      <c r="G36" s="11"/>
      <c r="H36" s="11"/>
    </row>
    <row r="37" spans="2:8" x14ac:dyDescent="0.25">
      <c r="B37" s="4" t="s">
        <v>0</v>
      </c>
      <c r="C37" s="42">
        <f>COUNTIF(Input!N$4:'Input'!N$68, "Agree")/$F$2*100</f>
        <v>29.411764705882355</v>
      </c>
      <c r="D37" s="42">
        <f>COUNTIF(Input!O$4:'Input'!O$68, "Agree")/$F$2*100</f>
        <v>26.47058823529412</v>
      </c>
      <c r="E37" s="42">
        <f>COUNTIF(Input!P$4:'Input'!P$68, "Agree")/$F$2*100</f>
        <v>29.411764705882355</v>
      </c>
      <c r="F37" s="11"/>
      <c r="G37" s="11"/>
      <c r="H37" s="11"/>
    </row>
    <row r="38" spans="2:8" x14ac:dyDescent="0.25">
      <c r="B38" s="4" t="s">
        <v>3</v>
      </c>
      <c r="C38" s="42">
        <f>COUNTIF(Input!N$4:N$68, "Neutral")/$F$2*100</f>
        <v>2.9411764705882351</v>
      </c>
      <c r="D38" s="42">
        <f>COUNTIF(Input!O$4:O$68, "Neutral")/$F$2*100</f>
        <v>11.76470588235294</v>
      </c>
      <c r="E38" s="42">
        <f>COUNTIF(Input!P$4:P$68, "Neutral")/$F$2*100</f>
        <v>5.8823529411764701</v>
      </c>
      <c r="F38" s="11"/>
      <c r="G38" s="11"/>
      <c r="H38" s="11"/>
    </row>
    <row r="39" spans="2:8" x14ac:dyDescent="0.25">
      <c r="B39" s="4" t="s">
        <v>1</v>
      </c>
      <c r="C39" s="42">
        <f>COUNTIF(Input!N$4:'Input'!N$68, "Disagree")/$F$2*100</f>
        <v>0</v>
      </c>
      <c r="D39" s="42">
        <f>COUNTIF(Input!O$4:'Input'!O$68, "Disagree")/$F$2*100</f>
        <v>0</v>
      </c>
      <c r="E39" s="42">
        <f>COUNTIF(Input!P$4:'Input'!P$68, "Disagree")/$F$2*100</f>
        <v>2.9411764705882351</v>
      </c>
      <c r="F39" s="11"/>
      <c r="G39" s="11"/>
      <c r="H39" s="11"/>
    </row>
    <row r="40" spans="2:8" x14ac:dyDescent="0.25">
      <c r="B40" s="4" t="s">
        <v>4</v>
      </c>
      <c r="C40" s="42">
        <f>COUNTIF(Input!N$4:'Input'!N$68, "Strongly Disagree")/$F$2*100</f>
        <v>2.9411764705882351</v>
      </c>
      <c r="D40" s="42">
        <f>COUNTIF(Input!O$4:'Input'!O$68, "Strongly Disagree")/$F$2*100</f>
        <v>0</v>
      </c>
      <c r="E40" s="42">
        <f>COUNTIF(Input!P$4:'Input'!P$68, "Strongly Disagree")/$F$2*100</f>
        <v>0</v>
      </c>
      <c r="F40" s="11"/>
      <c r="G40" s="11"/>
      <c r="H40" s="11"/>
    </row>
    <row r="43" spans="2:8" x14ac:dyDescent="0.25">
      <c r="B43" s="50" t="str">
        <f>Input!R1</f>
        <v xml:space="preserve">Course Teacher </v>
      </c>
      <c r="C43" s="50"/>
      <c r="D43" s="50"/>
      <c r="E43" s="50"/>
      <c r="F43" s="50"/>
      <c r="G43" s="50"/>
      <c r="H43" s="50"/>
    </row>
    <row r="44" spans="2:8" s="3" customFormat="1" x14ac:dyDescent="0.25">
      <c r="B44" s="4"/>
      <c r="C44" s="12" t="str">
        <f>Input!R3</f>
        <v>Q. 17</v>
      </c>
      <c r="D44" s="12" t="str">
        <f>Input!S3</f>
        <v>Q. 18</v>
      </c>
      <c r="E44" s="12" t="str">
        <f>Input!T3</f>
        <v>Q. 19</v>
      </c>
      <c r="F44" s="12" t="str">
        <f>Input!U3</f>
        <v>Q. 20</v>
      </c>
      <c r="G44" s="12" t="str">
        <f>Input!V3</f>
        <v>Q. 21</v>
      </c>
      <c r="H44" s="12" t="str">
        <f>Input!W3</f>
        <v>Q. 22</v>
      </c>
    </row>
    <row r="45" spans="2:8" x14ac:dyDescent="0.25">
      <c r="B45" s="4" t="s">
        <v>2</v>
      </c>
      <c r="C45" s="42">
        <f>COUNTIF(Input!R$4:'Input'!R$68, "Strongly Agree")/$F$2*100</f>
        <v>64.705882352941174</v>
      </c>
      <c r="D45" s="42">
        <f>COUNTIF(Input!S$4:'Input'!S$68, "Strongly Agree")/$F$2*100</f>
        <v>55.882352941176471</v>
      </c>
      <c r="E45" s="42">
        <f>COUNTIF(Input!T$4:'Input'!T$68, "Strongly Agree")/$F$2*100</f>
        <v>64.705882352941174</v>
      </c>
      <c r="F45" s="42">
        <f>COUNTIF(Input!U$4:'Input'!U$68, "Strongly Agree")/$F$2*100</f>
        <v>64.705882352941174</v>
      </c>
      <c r="G45" s="42">
        <f>COUNTIF(Input!V$4:'Input'!V$68, "Strongly Agree")/$F$2*100</f>
        <v>67.64705882352942</v>
      </c>
      <c r="H45" s="42">
        <f>COUNTIF(Input!W$4:'Input'!W$68, "Strongly Agree")/$F$2*100</f>
        <v>67.64705882352942</v>
      </c>
    </row>
    <row r="46" spans="2:8" x14ac:dyDescent="0.25">
      <c r="B46" s="4" t="s">
        <v>0</v>
      </c>
      <c r="C46" s="42">
        <f>COUNTIF(Input!R$4:'Input'!R$68, "Agree")/$F$2*100</f>
        <v>32.352941176470587</v>
      </c>
      <c r="D46" s="42">
        <f>COUNTIF(Input!S$4:'Input'!S$68, "Agree")/$F$2*100</f>
        <v>41.17647058823529</v>
      </c>
      <c r="E46" s="42">
        <f>COUNTIF(Input!T$4:'Input'!T$68, "Agree")/$F$2*100</f>
        <v>32.352941176470587</v>
      </c>
      <c r="F46" s="42">
        <f>COUNTIF(Input!U$4:'Input'!U$68, "Agree")/$F$2*100</f>
        <v>29.411764705882355</v>
      </c>
      <c r="G46" s="42">
        <f>COUNTIF(Input!V$4:'Input'!V$68, "Agree")/$F$2*100</f>
        <v>32.352941176470587</v>
      </c>
      <c r="H46" s="42">
        <f>COUNTIF(Input!W$4:'Input'!W$68, "Agree")/$F$2*100</f>
        <v>26.47058823529412</v>
      </c>
    </row>
    <row r="47" spans="2:8" x14ac:dyDescent="0.25">
      <c r="B47" s="4" t="s">
        <v>3</v>
      </c>
      <c r="C47" s="42">
        <f>COUNTIF(Input!R$4:R$68, "Neutral")/$F$2*100</f>
        <v>0</v>
      </c>
      <c r="D47" s="42">
        <f>COUNTIF(Input!S$4:S$68, "Neutral")/$F$2*100</f>
        <v>0</v>
      </c>
      <c r="E47" s="42">
        <f>COUNTIF(Input!T$4:T$68, "Neutral")/$F$2*100</f>
        <v>2.9411764705882351</v>
      </c>
      <c r="F47" s="42">
        <f>COUNTIF(Input!U$4:U$68, "Neutral")/$F$2*100</f>
        <v>5.8823529411764701</v>
      </c>
      <c r="G47" s="42">
        <f>COUNTIF(Input!V$4:V$68, "Neutral")/$F$2*100</f>
        <v>0</v>
      </c>
      <c r="H47" s="42">
        <f>COUNTIF(Input!W$4:W$68, "Neutral")/$F$2*100</f>
        <v>5.8823529411764701</v>
      </c>
    </row>
    <row r="48" spans="2:8" x14ac:dyDescent="0.25">
      <c r="B48" s="4" t="s">
        <v>1</v>
      </c>
      <c r="C48" s="42">
        <f>COUNTIF(Input!R$4:'Input'!R$68, "Disagree")/$F$2*100</f>
        <v>2.9411764705882351</v>
      </c>
      <c r="D48" s="42">
        <f>COUNTIF(Input!S$4:'Input'!S$68, "Disagree")/$F$2*100</f>
        <v>0</v>
      </c>
      <c r="E48" s="42">
        <f>COUNTIF(Input!T$4:'Input'!T$68, "Disagree")/$F$2*100</f>
        <v>0</v>
      </c>
      <c r="F48" s="42">
        <f>COUNTIF(Input!U$4:'Input'!U$68, "Disagree")/$F$2*100</f>
        <v>0</v>
      </c>
      <c r="G48" s="42">
        <f>COUNTIF(Input!V$4:'Input'!V$68, "Disagree")/$F$2*100</f>
        <v>0</v>
      </c>
      <c r="H48" s="42">
        <f>COUNTIF(Input!W$4:'Input'!W$68, "Disagree")/$F$2*100</f>
        <v>0</v>
      </c>
    </row>
    <row r="49" spans="2:8" x14ac:dyDescent="0.25">
      <c r="B49" s="4" t="s">
        <v>4</v>
      </c>
      <c r="C49" s="42">
        <f>COUNTIF(Input!R$4:'Input'!R$68, "Strongly Disagree")/$F$2*100</f>
        <v>0</v>
      </c>
      <c r="D49" s="42">
        <f>COUNTIF(Input!S$4:'Input'!S$68, "Strongly Disagree")/$F$2*100</f>
        <v>2.9411764705882351</v>
      </c>
      <c r="E49" s="42">
        <f>COUNTIF(Input!T$4:'Input'!T$68, "Strongly Disagree")/$F$2*100</f>
        <v>0</v>
      </c>
      <c r="F49" s="42">
        <f>COUNTIF(Input!U$4:'Input'!U$68, "Strongly Disagree")/$F$2*100</f>
        <v>0</v>
      </c>
      <c r="G49" s="42">
        <f>COUNTIF(Input!V$4:'Input'!V$68, "Strongly Disagree")/$F$2*100</f>
        <v>0</v>
      </c>
      <c r="H49" s="42">
        <f>COUNTIF(Input!W$4:'Input'!W$68, "Strongly Disagree")/$F$2*100</f>
        <v>0</v>
      </c>
    </row>
    <row r="52" spans="2:8" x14ac:dyDescent="0.25">
      <c r="B52" s="50" t="str">
        <f>Input!Y1</f>
        <v>Criteria for Rating</v>
      </c>
      <c r="C52" s="50"/>
      <c r="D52" s="50"/>
      <c r="E52" s="50"/>
      <c r="F52" s="50"/>
      <c r="G52" s="50"/>
      <c r="H52" s="50"/>
    </row>
    <row r="53" spans="2:8" s="3" customFormat="1" x14ac:dyDescent="0.25">
      <c r="B53" s="4"/>
      <c r="C53" s="12" t="str">
        <f>Input!Y3</f>
        <v>Q. 24</v>
      </c>
      <c r="D53" s="12" t="str">
        <f>Input!Z3</f>
        <v>Q. 25</v>
      </c>
      <c r="E53" s="12" t="str">
        <f>Input!AA3</f>
        <v>Q. 26</v>
      </c>
      <c r="F53" s="12" t="str">
        <f>Input!AB3</f>
        <v>Q. 27</v>
      </c>
      <c r="G53" s="12" t="str">
        <f>Input!AC3</f>
        <v>Q. 28</v>
      </c>
      <c r="H53" s="12" t="str">
        <f>Input!AD3</f>
        <v>Q. 29</v>
      </c>
    </row>
    <row r="54" spans="2:8" x14ac:dyDescent="0.25">
      <c r="B54" s="4">
        <v>5</v>
      </c>
      <c r="C54" s="42">
        <f>COUNTIF(Input!Y$4:'Input'!Y$68, "5")/$F$2*100</f>
        <v>73.529411764705884</v>
      </c>
      <c r="D54" s="42">
        <f>COUNTIF(Input!Z$4:'Input'!Z$68, "5")/$F$2*100</f>
        <v>67.64705882352942</v>
      </c>
      <c r="E54" s="42">
        <f>COUNTIF(Input!AA$4:'Input'!AA$68, "5")/$F$2*100</f>
        <v>58.82352941176471</v>
      </c>
      <c r="F54" s="42">
        <f>COUNTIF(Input!AB$4:'Input'!AB$68, "5")/$F$2*100</f>
        <v>67.64705882352942</v>
      </c>
      <c r="G54" s="42">
        <f>COUNTIF(Input!AC$4:'Input'!AC$68, "5")/$F$2*100</f>
        <v>58.82352941176471</v>
      </c>
      <c r="H54" s="42">
        <f>COUNTIF(Input!AD$4:'Input'!AD$68, "5")/$F$2*100</f>
        <v>67.64705882352942</v>
      </c>
    </row>
    <row r="55" spans="2:8" x14ac:dyDescent="0.25">
      <c r="B55" s="4">
        <v>4</v>
      </c>
      <c r="C55" s="42">
        <f>COUNTIF(Input!Y$4:'Input'!Y$68, "4")/$F$2*100</f>
        <v>20.588235294117645</v>
      </c>
      <c r="D55" s="42">
        <f>COUNTIF(Input!Z$4:'Input'!Z$68, "4")/$F$2*100</f>
        <v>23.52941176470588</v>
      </c>
      <c r="E55" s="42">
        <f>COUNTIF(Input!AA$4:'Input'!AA$68, "4")/$F$2*100</f>
        <v>23.52941176470588</v>
      </c>
      <c r="F55" s="42">
        <f>COUNTIF(Input!AB$4:'Input'!AB$68, "4")/$F$2*100</f>
        <v>23.52941176470588</v>
      </c>
      <c r="G55" s="42">
        <f>COUNTIF(Input!AC$4:'Input'!AC$68, "4")/$F$2*100</f>
        <v>26.47058823529412</v>
      </c>
      <c r="H55" s="42">
        <f>COUNTIF(Input!AD$4:'Input'!AD$68, "4")/$F$2*100</f>
        <v>23.52941176470588</v>
      </c>
    </row>
    <row r="56" spans="2:8" x14ac:dyDescent="0.25">
      <c r="B56" s="4">
        <v>3</v>
      </c>
      <c r="C56" s="42">
        <f>COUNTIF(Input!Y$4:Y$68, "3")/$F$2*100</f>
        <v>2.9411764705882351</v>
      </c>
      <c r="D56" s="42">
        <f>COUNTIF(Input!Z$4:Z$68, "3")/$F$2*100</f>
        <v>2.9411764705882351</v>
      </c>
      <c r="E56" s="42">
        <f>COUNTIF(Input!AA$4:AA$68, "3")/$F$2*100</f>
        <v>11.76470588235294</v>
      </c>
      <c r="F56" s="42">
        <f>COUNTIF(Input!AB$4:AB$68, "3")/$F$2*100</f>
        <v>2.9411764705882351</v>
      </c>
      <c r="G56" s="42">
        <f>COUNTIF(Input!AC$4:AC$68, "3")/$F$2*100</f>
        <v>11.76470588235294</v>
      </c>
      <c r="H56" s="42">
        <f>COUNTIF(Input!AD$4:AD$68, "3")/$F$2*100</f>
        <v>2.9411764705882351</v>
      </c>
    </row>
    <row r="57" spans="2:8" x14ac:dyDescent="0.25">
      <c r="B57" s="4">
        <v>2</v>
      </c>
      <c r="C57" s="42">
        <f>COUNTIF(Input!Y$4:'Input'!Y$68, "2")/$F$2*100</f>
        <v>0</v>
      </c>
      <c r="D57" s="42">
        <f>COUNTIF(Input!Z$4:'Input'!Z$68, "2")/$F$2*100</f>
        <v>0</v>
      </c>
      <c r="E57" s="42">
        <f>COUNTIF(Input!AA$4:'Input'!AA$68, "2")/$F$2*100</f>
        <v>0</v>
      </c>
      <c r="F57" s="42">
        <f>COUNTIF(Input!AB$4:'Input'!AB$68, "2")/$F$2*100</f>
        <v>2.9411764705882351</v>
      </c>
      <c r="G57" s="42">
        <f>COUNTIF(Input!AC$4:'Input'!AC$68, "2")/$F$2*100</f>
        <v>0</v>
      </c>
      <c r="H57" s="42">
        <f>COUNTIF(Input!AD$4:'Input'!AD$68, "2")/$F$2*100</f>
        <v>2.9411764705882351</v>
      </c>
    </row>
    <row r="58" spans="2:8" x14ac:dyDescent="0.25">
      <c r="B58" s="4">
        <v>1</v>
      </c>
      <c r="C58" s="42">
        <f>COUNTIF(Input!Y$4:'Input'!Y$68, "1")/$F$2*100</f>
        <v>2.9411764705882351</v>
      </c>
      <c r="D58" s="42">
        <f>COUNTIF(Input!Z$4:'Input'!Z$68, "1")/$F$2*100</f>
        <v>5.8823529411764701</v>
      </c>
      <c r="E58" s="42">
        <f>COUNTIF(Input!AA$4:'Input'!AA$68, "1")/$F$2*100</f>
        <v>5.8823529411764701</v>
      </c>
      <c r="F58" s="42">
        <f>COUNTIF(Input!AB$4:'Input'!AB$68, "1")/$F$2*100</f>
        <v>2.9411764705882351</v>
      </c>
      <c r="G58" s="42">
        <f>COUNTIF(Input!AC$4:'Input'!AC$68, "1")/$F$2*100</f>
        <v>2.9411764705882351</v>
      </c>
      <c r="H58" s="42">
        <f>COUNTIF(Input!AD$4:'Input'!AD$68, "1")/$F$2*100</f>
        <v>2.9411764705882351</v>
      </c>
    </row>
  </sheetData>
  <mergeCells count="12">
    <mergeCell ref="I6:J6"/>
    <mergeCell ref="C6:E6"/>
    <mergeCell ref="F6:H6"/>
    <mergeCell ref="F2:F3"/>
    <mergeCell ref="C2:E3"/>
    <mergeCell ref="B43:H43"/>
    <mergeCell ref="B52:H52"/>
    <mergeCell ref="C5:H5"/>
    <mergeCell ref="B7:H7"/>
    <mergeCell ref="B16:H16"/>
    <mergeCell ref="B25:H25"/>
    <mergeCell ref="B34:H34"/>
  </mergeCells>
  <pageMargins left="0.7" right="0.7" top="0.75" bottom="0.75" header="0.3" footer="0.3"/>
  <pageSetup paperSize="5"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0"/>
  <sheetViews>
    <sheetView zoomScaleNormal="100" workbookViewId="0">
      <selection activeCell="E10" sqref="E10"/>
    </sheetView>
  </sheetViews>
  <sheetFormatPr defaultRowHeight="15.6" x14ac:dyDescent="0.3"/>
  <cols>
    <col min="1" max="1" width="4.21875" style="17" customWidth="1"/>
    <col min="2" max="2" width="23.5546875" style="15" customWidth="1"/>
    <col min="3" max="3" width="62" style="16" customWidth="1"/>
    <col min="4" max="16384" width="8.88671875" style="16"/>
  </cols>
  <sheetData>
    <row r="1" spans="1:7" x14ac:dyDescent="0.3">
      <c r="A1" s="59" t="s">
        <v>87</v>
      </c>
      <c r="B1" s="59"/>
      <c r="C1" s="59"/>
    </row>
    <row r="2" spans="1:7" x14ac:dyDescent="0.3">
      <c r="A2" s="60" t="s">
        <v>88</v>
      </c>
      <c r="B2" s="60"/>
      <c r="C2" s="60"/>
    </row>
    <row r="3" spans="1:7" x14ac:dyDescent="0.3">
      <c r="A3" s="60" t="s">
        <v>108</v>
      </c>
      <c r="B3" s="60"/>
      <c r="C3" s="60"/>
    </row>
    <row r="4" spans="1:7" x14ac:dyDescent="0.3">
      <c r="A4" s="61" t="s">
        <v>110</v>
      </c>
      <c r="B4" s="61"/>
      <c r="C4" s="61"/>
    </row>
    <row r="5" spans="1:7" ht="12.6" customHeight="1" x14ac:dyDescent="0.3">
      <c r="A5" s="60" t="s">
        <v>109</v>
      </c>
      <c r="B5" s="60"/>
      <c r="C5" s="60"/>
    </row>
    <row r="6" spans="1:7" ht="4.2" customHeight="1" x14ac:dyDescent="0.3">
      <c r="A6" s="34"/>
      <c r="B6" s="34"/>
      <c r="C6" s="34"/>
    </row>
    <row r="7" spans="1:7" x14ac:dyDescent="0.3">
      <c r="A7" s="68" t="s">
        <v>76</v>
      </c>
      <c r="B7" s="69"/>
      <c r="C7" s="70"/>
    </row>
    <row r="8" spans="1:7" ht="4.2" customHeight="1" x14ac:dyDescent="0.3">
      <c r="A8" s="39"/>
      <c r="B8" s="39"/>
      <c r="C8" s="39"/>
    </row>
    <row r="9" spans="1:7" ht="31.2" x14ac:dyDescent="0.3">
      <c r="A9" s="21" t="s">
        <v>77</v>
      </c>
      <c r="B9" s="23" t="s">
        <v>29</v>
      </c>
      <c r="C9" s="62"/>
      <c r="G9"/>
    </row>
    <row r="10" spans="1:7" ht="31.2" x14ac:dyDescent="0.3">
      <c r="A10" s="20">
        <v>1</v>
      </c>
      <c r="B10" s="22" t="s">
        <v>30</v>
      </c>
      <c r="C10" s="62"/>
    </row>
    <row r="11" spans="1:7" ht="31.2" x14ac:dyDescent="0.3">
      <c r="A11" s="20">
        <v>2</v>
      </c>
      <c r="B11" s="22" t="s">
        <v>31</v>
      </c>
      <c r="C11" s="62"/>
    </row>
    <row r="12" spans="1:7" ht="78" x14ac:dyDescent="0.3">
      <c r="A12" s="20">
        <v>3</v>
      </c>
      <c r="B12" s="24" t="s">
        <v>78</v>
      </c>
      <c r="C12" s="63"/>
    </row>
    <row r="13" spans="1:7" ht="15.6" customHeight="1" x14ac:dyDescent="0.3">
      <c r="A13" s="25">
        <v>4</v>
      </c>
      <c r="B13" s="64" t="s">
        <v>89</v>
      </c>
      <c r="C13" s="64"/>
    </row>
    <row r="14" spans="1:7" ht="11.4" customHeight="1" x14ac:dyDescent="0.3">
      <c r="A14" s="18"/>
    </row>
    <row r="15" spans="1:7" x14ac:dyDescent="0.3">
      <c r="A15" s="21" t="s">
        <v>77</v>
      </c>
      <c r="B15" s="23" t="s">
        <v>35</v>
      </c>
      <c r="C15" s="62"/>
    </row>
    <row r="16" spans="1:7" ht="54.6" customHeight="1" x14ac:dyDescent="0.3">
      <c r="A16" s="20">
        <v>5</v>
      </c>
      <c r="B16" s="22" t="s">
        <v>34</v>
      </c>
      <c r="C16" s="62"/>
    </row>
    <row r="17" spans="1:3" ht="61.8" customHeight="1" x14ac:dyDescent="0.3">
      <c r="A17" s="20">
        <v>6</v>
      </c>
      <c r="B17" s="24" t="s">
        <v>79</v>
      </c>
      <c r="C17" s="63"/>
    </row>
    <row r="18" spans="1:3" ht="15.6" customHeight="1" x14ac:dyDescent="0.3">
      <c r="A18" s="25">
        <v>7</v>
      </c>
      <c r="B18" s="64" t="s">
        <v>89</v>
      </c>
      <c r="C18" s="64"/>
    </row>
    <row r="19" spans="1:3" ht="14.4" customHeight="1" x14ac:dyDescent="0.3">
      <c r="A19" s="19"/>
    </row>
    <row r="20" spans="1:3" ht="31.2" x14ac:dyDescent="0.3">
      <c r="A20" s="21" t="s">
        <v>77</v>
      </c>
      <c r="B20" s="23" t="s">
        <v>46</v>
      </c>
      <c r="C20" s="62"/>
    </row>
    <row r="21" spans="1:3" ht="78" x14ac:dyDescent="0.3">
      <c r="A21" s="20">
        <v>8</v>
      </c>
      <c r="B21" s="22" t="s">
        <v>80</v>
      </c>
      <c r="C21" s="62"/>
    </row>
    <row r="22" spans="1:3" ht="46.8" x14ac:dyDescent="0.3">
      <c r="A22" s="20">
        <v>9</v>
      </c>
      <c r="B22" s="22" t="s">
        <v>47</v>
      </c>
      <c r="C22" s="62"/>
    </row>
    <row r="23" spans="1:3" ht="46.8" x14ac:dyDescent="0.3">
      <c r="A23" s="20">
        <v>10</v>
      </c>
      <c r="B23" s="22" t="s">
        <v>81</v>
      </c>
      <c r="C23" s="62"/>
    </row>
    <row r="24" spans="1:3" ht="31.2" x14ac:dyDescent="0.3">
      <c r="A24" s="20">
        <v>11</v>
      </c>
      <c r="B24" s="24" t="s">
        <v>49</v>
      </c>
      <c r="C24" s="63"/>
    </row>
    <row r="25" spans="1:3" x14ac:dyDescent="0.3">
      <c r="A25" s="25">
        <v>12</v>
      </c>
      <c r="B25" s="64" t="s">
        <v>89</v>
      </c>
      <c r="C25" s="64"/>
    </row>
    <row r="26" spans="1:3" ht="12.6" customHeight="1" x14ac:dyDescent="0.3">
      <c r="A26" s="19"/>
    </row>
    <row r="27" spans="1:3" x14ac:dyDescent="0.3">
      <c r="A27" s="21" t="s">
        <v>77</v>
      </c>
      <c r="B27" s="23" t="s">
        <v>82</v>
      </c>
      <c r="C27" s="62"/>
    </row>
    <row r="28" spans="1:3" ht="62.4" x14ac:dyDescent="0.3">
      <c r="A28" s="20">
        <v>13</v>
      </c>
      <c r="B28" s="22" t="s">
        <v>83</v>
      </c>
      <c r="C28" s="62"/>
    </row>
    <row r="29" spans="1:3" ht="46.8" x14ac:dyDescent="0.3">
      <c r="A29" s="20">
        <v>14</v>
      </c>
      <c r="B29" s="22" t="s">
        <v>54</v>
      </c>
      <c r="C29" s="62"/>
    </row>
    <row r="30" spans="1:3" ht="62.4" x14ac:dyDescent="0.3">
      <c r="A30" s="20">
        <v>15</v>
      </c>
      <c r="B30" s="24" t="s">
        <v>55</v>
      </c>
      <c r="C30" s="63"/>
    </row>
    <row r="31" spans="1:3" ht="15.6" customHeight="1" x14ac:dyDescent="0.3">
      <c r="A31" s="25">
        <v>16</v>
      </c>
      <c r="B31" s="64" t="s">
        <v>89</v>
      </c>
      <c r="C31" s="64"/>
    </row>
    <row r="32" spans="1:3" ht="15.6" customHeight="1" x14ac:dyDescent="0.3">
      <c r="A32" s="43"/>
      <c r="B32" s="44"/>
      <c r="C32" s="44"/>
    </row>
    <row r="33" spans="1:3" ht="16.2" customHeight="1" x14ac:dyDescent="0.3">
      <c r="A33" s="19"/>
    </row>
    <row r="34" spans="1:3" x14ac:dyDescent="0.3">
      <c r="A34" s="21" t="s">
        <v>77</v>
      </c>
      <c r="B34" s="23" t="s">
        <v>84</v>
      </c>
      <c r="C34" s="62"/>
    </row>
    <row r="35" spans="1:3" ht="46.8" x14ac:dyDescent="0.3">
      <c r="A35" s="20">
        <v>17</v>
      </c>
      <c r="B35" s="22" t="s">
        <v>57</v>
      </c>
      <c r="C35" s="62"/>
    </row>
    <row r="36" spans="1:3" ht="46.8" x14ac:dyDescent="0.3">
      <c r="A36" s="20">
        <v>18</v>
      </c>
      <c r="B36" s="22" t="s">
        <v>59</v>
      </c>
      <c r="C36" s="62"/>
    </row>
    <row r="37" spans="1:3" ht="31.2" x14ac:dyDescent="0.3">
      <c r="A37" s="20">
        <v>19</v>
      </c>
      <c r="B37" s="22" t="s">
        <v>60</v>
      </c>
      <c r="C37" s="62"/>
    </row>
    <row r="38" spans="1:3" ht="46.8" x14ac:dyDescent="0.3">
      <c r="A38" s="20">
        <v>20</v>
      </c>
      <c r="B38" s="22" t="s">
        <v>61</v>
      </c>
      <c r="C38" s="62"/>
    </row>
    <row r="39" spans="1:3" ht="31.2" x14ac:dyDescent="0.3">
      <c r="A39" s="20">
        <v>21</v>
      </c>
      <c r="B39" s="22" t="s">
        <v>62</v>
      </c>
      <c r="C39" s="62"/>
    </row>
    <row r="40" spans="1:3" ht="62.4" x14ac:dyDescent="0.3">
      <c r="A40" s="20">
        <v>22</v>
      </c>
      <c r="B40" s="24" t="s">
        <v>63</v>
      </c>
      <c r="C40" s="63"/>
    </row>
    <row r="41" spans="1:3" ht="15.6" customHeight="1" x14ac:dyDescent="0.3">
      <c r="A41" s="25">
        <v>23</v>
      </c>
      <c r="B41" s="64" t="s">
        <v>89</v>
      </c>
      <c r="C41" s="64"/>
    </row>
    <row r="42" spans="1:3" x14ac:dyDescent="0.3">
      <c r="A42" s="19"/>
    </row>
    <row r="43" spans="1:3" x14ac:dyDescent="0.3">
      <c r="A43" s="68" t="s">
        <v>85</v>
      </c>
      <c r="B43" s="69"/>
      <c r="C43" s="70"/>
    </row>
    <row r="44" spans="1:3" ht="7.2" customHeight="1" x14ac:dyDescent="0.3">
      <c r="A44" s="39"/>
      <c r="B44" s="39"/>
      <c r="C44" s="39"/>
    </row>
    <row r="45" spans="1:3" x14ac:dyDescent="0.3">
      <c r="A45" s="21" t="s">
        <v>77</v>
      </c>
      <c r="B45" s="23" t="s">
        <v>65</v>
      </c>
      <c r="C45" s="62"/>
    </row>
    <row r="46" spans="1:3" ht="31.2" x14ac:dyDescent="0.3">
      <c r="A46" s="20">
        <v>24</v>
      </c>
      <c r="B46" s="35" t="s">
        <v>66</v>
      </c>
      <c r="C46" s="62"/>
    </row>
    <row r="47" spans="1:3" ht="31.2" x14ac:dyDescent="0.3">
      <c r="A47" s="20">
        <v>25</v>
      </c>
      <c r="B47" s="35" t="s">
        <v>67</v>
      </c>
      <c r="C47" s="62"/>
    </row>
    <row r="48" spans="1:3" x14ac:dyDescent="0.3">
      <c r="A48" s="20">
        <v>26</v>
      </c>
      <c r="B48" s="35" t="s">
        <v>68</v>
      </c>
      <c r="C48" s="62"/>
    </row>
    <row r="49" spans="1:11" x14ac:dyDescent="0.3">
      <c r="A49" s="20">
        <v>27</v>
      </c>
      <c r="B49" s="35" t="s">
        <v>69</v>
      </c>
      <c r="C49" s="62"/>
    </row>
    <row r="50" spans="1:11" ht="46.8" x14ac:dyDescent="0.3">
      <c r="A50" s="20">
        <v>28</v>
      </c>
      <c r="B50" s="35" t="s">
        <v>70</v>
      </c>
      <c r="C50" s="62"/>
      <c r="I50" s="45"/>
    </row>
    <row r="51" spans="1:11" x14ac:dyDescent="0.3">
      <c r="A51" s="20">
        <v>29</v>
      </c>
      <c r="B51" s="36" t="s">
        <v>71</v>
      </c>
      <c r="C51" s="63"/>
    </row>
    <row r="52" spans="1:11" ht="15.6" customHeight="1" x14ac:dyDescent="0.3">
      <c r="A52" s="25">
        <v>30</v>
      </c>
      <c r="B52" s="64" t="s">
        <v>89</v>
      </c>
      <c r="C52" s="64"/>
    </row>
    <row r="54" spans="1:11" x14ac:dyDescent="0.3">
      <c r="A54" s="65" t="s">
        <v>86</v>
      </c>
      <c r="B54" s="66"/>
      <c r="C54" s="67"/>
    </row>
    <row r="55" spans="1:11" ht="4.2" customHeight="1" x14ac:dyDescent="0.3">
      <c r="A55" s="38"/>
      <c r="B55" s="37"/>
      <c r="C55" s="37"/>
    </row>
    <row r="56" spans="1:11" customFormat="1" ht="13.2" x14ac:dyDescent="0.25">
      <c r="A56" s="71" t="str">
        <f>IF(ISBLANK(Input!AF4), "", "• " &amp; Input!AF4)</f>
        <v>• This was an extremely informative and well-delivered course, providing valuable insights.</v>
      </c>
      <c r="B56" s="71"/>
      <c r="C56" s="71"/>
    </row>
    <row r="57" spans="1:11" customFormat="1" ht="13.2" customHeight="1" x14ac:dyDescent="0.25">
      <c r="A57" s="71" t="str">
        <f>IF(ISBLANK(Input!AF5), "", "• " &amp; Input!AF5)</f>
        <v>• give daily assignment to students to watch some short videos on things that will taught in the upcoming lab.</v>
      </c>
      <c r="B57" s="71"/>
      <c r="C57" s="71"/>
    </row>
    <row r="58" spans="1:11" customFormat="1" ht="12.6" customHeight="1" x14ac:dyDescent="0.25">
      <c r="A58" s="71" t="str">
        <f>IF(ISBLANK(Input!AF6), "", "• " &amp; Input!AF6)</f>
        <v>• nothing</v>
      </c>
      <c r="B58" s="71"/>
      <c r="C58" s="71"/>
    </row>
    <row r="59" spans="1:11" customFormat="1" ht="13.2" customHeight="1" x14ac:dyDescent="0.25">
      <c r="A59" s="71" t="str">
        <f>IF(ISBLANK(Input!AF7), "", "• " &amp; Input!AF7)</f>
        <v>• The course was very helpful for me.</v>
      </c>
      <c r="B59" s="71"/>
      <c r="C59" s="71"/>
    </row>
    <row r="60" spans="1:11" customFormat="1" ht="13.2" x14ac:dyDescent="0.25">
      <c r="A60" s="71" t="str">
        <f>IF(ISBLANK(Input!AF8), "", "• " &amp; Input!AF8)</f>
        <v>• Overall, The course was effective.</v>
      </c>
      <c r="B60" s="71"/>
      <c r="C60" s="71"/>
    </row>
    <row r="61" spans="1:11" customFormat="1" ht="25.8" customHeight="1" x14ac:dyDescent="0.25">
      <c r="A61" s="71" t="str">
        <f>IF(ISBLANK(Input!AF9), "", "• " &amp; Input!AF9)</f>
        <v>• Good</v>
      </c>
      <c r="B61" s="71"/>
      <c r="C61" s="71"/>
    </row>
    <row r="62" spans="1:11" customFormat="1" ht="13.2" customHeight="1" x14ac:dyDescent="0.25">
      <c r="A62" s="71" t="str">
        <f>IF(ISBLANK(Input!AF10), "", "• " &amp; Input!AF10)</f>
        <v>• Problem solving</v>
      </c>
      <c r="B62" s="71"/>
      <c r="C62" s="71"/>
    </row>
    <row r="63" spans="1:11" customFormat="1" ht="13.2" x14ac:dyDescent="0.25">
      <c r="A63" s="71" t="str">
        <f>IF(ISBLANK(Input!AF11), "", "• " &amp; Input!AF11)</f>
        <v>• Was standard</v>
      </c>
      <c r="B63" s="71"/>
      <c r="C63" s="71"/>
    </row>
    <row r="64" spans="1:11" customFormat="1" ht="13.2" customHeight="1" x14ac:dyDescent="0.25">
      <c r="A64" s="71" t="str">
        <f>IF(ISBLANK(Input!AF12), "", "• " &amp; Input!AF12)</f>
        <v>• In last few days we suffers a lot sir for the unfortunate imbalance time shedule,.so to fulfill our credit course we have to even the last 30 have taken a lab final ,a quiz, a viva and then your presentation and the project submission in the same day. And then we came home after the 5 pm and the next day we have to attend 2 more ct. So sir if the time shedule have been perfect,it would help us .</v>
      </c>
      <c r="B64" s="71"/>
      <c r="C64" s="71"/>
      <c r="K64" s="46"/>
    </row>
    <row r="65" spans="1:3" customFormat="1" ht="30" customHeight="1" x14ac:dyDescent="0.25">
      <c r="A65" s="71" t="str">
        <f>IF(ISBLANK(Input!AF13), "", "• " &amp; Input!AF13)</f>
        <v>• Theory course accompanying this course should've been provided for more detailed learning.</v>
      </c>
      <c r="B65" s="71"/>
      <c r="C65" s="71"/>
    </row>
    <row r="66" spans="1:3" ht="15.6" customHeight="1" x14ac:dyDescent="0.3">
      <c r="A66" s="71" t="str">
        <f>IF(ISBLANK(Input!AF14), "", "• " &amp; Input!AF14)</f>
        <v>• Course is satisfactory</v>
      </c>
      <c r="B66" s="71"/>
      <c r="C66" s="71"/>
    </row>
    <row r="67" spans="1:3" ht="15.6" customHeight="1" x14ac:dyDescent="0.3">
      <c r="A67" s="71" t="str">
        <f>IF(ISBLANK(Input!AF15), "", "• " &amp; Input!AF15)</f>
        <v>• good</v>
      </c>
      <c r="B67" s="71"/>
      <c r="C67" s="71"/>
    </row>
    <row r="68" spans="1:3" ht="15.6" customHeight="1" x14ac:dyDescent="0.3">
      <c r="A68" s="71" t="str">
        <f>IF(ISBLANK(Input!AF16), "", "• " &amp; Input!AF16)</f>
        <v>• The course was quite good.</v>
      </c>
      <c r="B68" s="71"/>
      <c r="C68" s="71"/>
    </row>
    <row r="69" spans="1:3" ht="15.6" customHeight="1" x14ac:dyDescent="0.3">
      <c r="A69" s="71" t="str">
        <f>IF(ISBLANK(Input!AF17), "", "• " &amp; Input!AF17)</f>
        <v>• very good</v>
      </c>
      <c r="B69" s="71"/>
      <c r="C69" s="71"/>
    </row>
    <row r="70" spans="1:3" ht="15.6" customHeight="1" x14ac:dyDescent="0.3">
      <c r="A70" s="71" t="str">
        <f>IF(ISBLANK(Input!AF18), "", "• " &amp; Input!AF18)</f>
        <v>• The course was overall good, I think some more time should be given on the class for the concepts. And for gaming projects, some extra skills are needed to teach the students. It will boost us to make some more dynamic gaming project</v>
      </c>
      <c r="B70" s="71"/>
      <c r="C70" s="71"/>
    </row>
    <row r="71" spans="1:3" ht="15.6" customHeight="1" x14ac:dyDescent="0.3">
      <c r="A71" s="71" t="str">
        <f>IF(ISBLANK(Input!AF19), "", "• " &amp; Input!AF19)</f>
        <v>• The course was satisfactory</v>
      </c>
      <c r="B71" s="71"/>
      <c r="C71" s="71"/>
    </row>
    <row r="72" spans="1:3" ht="15.6" customHeight="1" x14ac:dyDescent="0.3">
      <c r="A72" s="71" t="str">
        <f>IF(ISBLANK(Input!AF20), "", "• " &amp; Input!AF20)</f>
        <v>• N/A</v>
      </c>
      <c r="B72" s="71"/>
      <c r="C72" s="71"/>
    </row>
    <row r="73" spans="1:3" ht="14.4" customHeight="1" x14ac:dyDescent="0.3">
      <c r="A73" s="71" t="str">
        <f>IF(ISBLANK(Input!AF21), "", "• " &amp; Input!AF21)</f>
        <v xml:space="preserve">• This course was very satisfactory, </v>
      </c>
      <c r="B73" s="71"/>
      <c r="C73" s="71"/>
    </row>
    <row r="74" spans="1:3" ht="15.6" customHeight="1" x14ac:dyDescent="0.3">
      <c r="A74" s="71" t="str">
        <f>IF(ISBLANK(Input!AF22), "", "• " &amp; Input!AF22)</f>
        <v>• Course was well organized.</v>
      </c>
      <c r="B74" s="71"/>
      <c r="C74" s="71"/>
    </row>
    <row r="75" spans="1:3" ht="31.8" customHeight="1" x14ac:dyDescent="0.3">
      <c r="A75" s="71" t="str">
        <f>IF(ISBLANK(Input!AF23), "", "• " &amp; Input!AF23)</f>
        <v>• I am satisfied.</v>
      </c>
      <c r="B75" s="71"/>
      <c r="C75" s="71"/>
    </row>
    <row r="76" spans="1:3" ht="15.6" customHeight="1" x14ac:dyDescent="0.3">
      <c r="A76" s="71" t="str">
        <f>IF(ISBLANK(Input!AF24), "", "• " &amp; Input!AF24)</f>
        <v>• It is well enough.</v>
      </c>
      <c r="B76" s="71"/>
      <c r="C76" s="71"/>
    </row>
    <row r="77" spans="1:3" ht="15.6" customHeight="1" x14ac:dyDescent="0.3">
      <c r="A77" s="71" t="str">
        <f>IF(ISBLANK(Input!AF25), "", "• " &amp; Input!AF25)</f>
        <v>• Satisfied by taking this course.</v>
      </c>
      <c r="B77" s="71"/>
      <c r="C77" s="71"/>
    </row>
    <row r="78" spans="1:3" ht="15.6" customHeight="1" x14ac:dyDescent="0.3">
      <c r="A78" s="71" t="str">
        <f>IF(ISBLANK(Input!AF26), "", "• " &amp; Input!AF26)</f>
        <v>• Course is well organized.</v>
      </c>
      <c r="B78" s="71"/>
      <c r="C78" s="71"/>
    </row>
    <row r="79" spans="1:3" ht="15.6" customHeight="1" x14ac:dyDescent="0.3">
      <c r="A79" s="71" t="str">
        <f>IF(ISBLANK(Input!AF27), "", "• " &amp; Input!AF27)</f>
        <v>• Nothing, overall good.</v>
      </c>
      <c r="B79" s="71"/>
      <c r="C79" s="71"/>
    </row>
    <row r="80" spans="1:3" ht="15" customHeight="1" x14ac:dyDescent="0.3">
      <c r="A80" s="71" t="str">
        <f>IF(ISBLANK(Input!AF28), "", "• " &amp; Input!AF28)</f>
        <v>• Overall well.</v>
      </c>
      <c r="B80" s="71"/>
      <c r="C80" s="71"/>
    </row>
    <row r="81" spans="1:3" ht="15.6" customHeight="1" x14ac:dyDescent="0.3">
      <c r="A81" s="71" t="str">
        <f>IF(ISBLANK(Input!AF29), "", "• " &amp; Input!AF29)</f>
        <v>• Perfect.</v>
      </c>
      <c r="B81" s="71"/>
      <c r="C81" s="71"/>
    </row>
    <row r="82" spans="1:3" ht="15.6" customHeight="1" x14ac:dyDescent="0.3">
      <c r="A82" s="71" t="str">
        <f>IF(ISBLANK(Input!AF30), "", "• " &amp; Input!AF30)</f>
        <v>• Already so organized. Teaching style and lectures are very helpful.</v>
      </c>
      <c r="B82" s="71"/>
      <c r="C82" s="71"/>
    </row>
    <row r="83" spans="1:3" ht="15.6" customHeight="1" x14ac:dyDescent="0.3">
      <c r="A83" s="71" t="str">
        <f>IF(ISBLANK(Input!AF31), "", "• " &amp; Input!AF31)</f>
        <v>• Overall good.</v>
      </c>
      <c r="B83" s="71"/>
      <c r="C83" s="71"/>
    </row>
    <row r="84" spans="1:3" ht="15.6" customHeight="1" x14ac:dyDescent="0.3">
      <c r="A84" s="71" t="str">
        <f>IF(ISBLANK(Input!AF32), "", "• " &amp; Input!AF32)</f>
        <v>• The course was satisfactory.</v>
      </c>
      <c r="B84" s="71"/>
      <c r="C84" s="71"/>
    </row>
    <row r="85" spans="1:3" ht="15.6" customHeight="1" x14ac:dyDescent="0.3">
      <c r="A85" s="71" t="str">
        <f>IF(ISBLANK(Input!AF33), "", "• " &amp; Input!AF33)</f>
        <v>• The lectures were clear and easy to follow.</v>
      </c>
      <c r="B85" s="71"/>
      <c r="C85" s="71"/>
    </row>
    <row r="86" spans="1:3" ht="15.6" customHeight="1" x14ac:dyDescent="0.3">
      <c r="A86" s="71" t="str">
        <f>IF(ISBLANK(Input!AF34), "", "• " &amp; Input!AF34)</f>
        <v>• Teaching method was excellent.</v>
      </c>
      <c r="B86" s="71"/>
      <c r="C86" s="71"/>
    </row>
    <row r="87" spans="1:3" ht="15.6" customHeight="1" x14ac:dyDescent="0.3">
      <c r="A87" s="71" t="str">
        <f>IF(ISBLANK(Input!AF35), "", "• " &amp; Input!AF35)</f>
        <v>• Everything was arranged properly.</v>
      </c>
      <c r="B87" s="71"/>
      <c r="C87" s="71"/>
    </row>
    <row r="88" spans="1:3" ht="31.2" customHeight="1" x14ac:dyDescent="0.3">
      <c r="A88" s="71" t="str">
        <f>IF(ISBLANK(Input!AF36), "", "• " &amp; Input!AF36)</f>
        <v>• Very helpful and well-structured course.</v>
      </c>
      <c r="B88" s="71"/>
      <c r="C88" s="71"/>
    </row>
    <row r="89" spans="1:3" x14ac:dyDescent="0.3">
      <c r="A89" s="71" t="str">
        <f>IF(ISBLANK(Input!AF37), "", "• " &amp; Input!AF37)</f>
        <v>• Overall good.</v>
      </c>
      <c r="B89" s="71"/>
      <c r="C89" s="71"/>
    </row>
    <row r="90" spans="1:3" x14ac:dyDescent="0.3">
      <c r="A90" s="71" t="str">
        <f>IF(ISBLANK(Input!AF38), "", "• " &amp; Input!AF38)</f>
        <v/>
      </c>
      <c r="B90" s="71"/>
      <c r="C90" s="71"/>
    </row>
    <row r="91" spans="1:3" x14ac:dyDescent="0.3">
      <c r="A91" s="71" t="str">
        <f>IF(ISBLANK(Input!AF39), "", "• " &amp; Input!AF39)</f>
        <v/>
      </c>
      <c r="B91" s="71"/>
      <c r="C91" s="71"/>
    </row>
    <row r="92" spans="1:3" x14ac:dyDescent="0.3">
      <c r="A92" s="71" t="str">
        <f>IF(ISBLANK(Input!AF40), "", "• " &amp; Input!AF40)</f>
        <v/>
      </c>
      <c r="B92" s="71"/>
      <c r="C92" s="71"/>
    </row>
    <row r="93" spans="1:3" x14ac:dyDescent="0.3">
      <c r="A93" s="71" t="str">
        <f>IF(ISBLANK(Input!AF41), "", "• " &amp; Input!AF41)</f>
        <v/>
      </c>
      <c r="B93" s="71"/>
      <c r="C93" s="71"/>
    </row>
    <row r="94" spans="1:3" x14ac:dyDescent="0.3">
      <c r="A94" s="71" t="str">
        <f>IF(ISBLANK(Input!AF42), "", "• " &amp; Input!AF42)</f>
        <v/>
      </c>
      <c r="B94" s="71"/>
      <c r="C94" s="71"/>
    </row>
    <row r="95" spans="1:3" x14ac:dyDescent="0.3">
      <c r="A95" s="71" t="str">
        <f>IF(ISBLANK(Input!AF43), "", "• " &amp; Input!AF43)</f>
        <v/>
      </c>
      <c r="B95" s="71"/>
      <c r="C95" s="71"/>
    </row>
    <row r="96" spans="1:3" x14ac:dyDescent="0.3">
      <c r="A96" s="71" t="str">
        <f>IF(ISBLANK(Input!AF44), "", "• " &amp; Input!AF44)</f>
        <v/>
      </c>
      <c r="B96" s="71"/>
      <c r="C96" s="71"/>
    </row>
    <row r="97" spans="1:3" x14ac:dyDescent="0.3">
      <c r="A97" s="71" t="str">
        <f>IF(ISBLANK(Input!AF45), "", "• " &amp; Input!AF45)</f>
        <v/>
      </c>
      <c r="B97" s="71"/>
      <c r="C97" s="71"/>
    </row>
    <row r="98" spans="1:3" x14ac:dyDescent="0.3">
      <c r="A98" s="71" t="str">
        <f>IF(ISBLANK(Input!AF46), "", "• " &amp; Input!AF46)</f>
        <v/>
      </c>
      <c r="B98" s="71"/>
      <c r="C98" s="71"/>
    </row>
    <row r="99" spans="1:3" x14ac:dyDescent="0.3">
      <c r="A99" s="71" t="str">
        <f>IF(ISBLANK(Input!AF47), "", "• " &amp; Input!AF47)</f>
        <v/>
      </c>
      <c r="B99" s="71"/>
      <c r="C99" s="71"/>
    </row>
    <row r="100" spans="1:3" x14ac:dyDescent="0.3">
      <c r="A100" s="71" t="str">
        <f>IF(ISBLANK(Input!AF48), "", "• " &amp; Input!AF48)</f>
        <v/>
      </c>
      <c r="B100" s="71"/>
      <c r="C100" s="71"/>
    </row>
    <row r="101" spans="1:3" x14ac:dyDescent="0.3">
      <c r="A101" s="71" t="str">
        <f>IF(ISBLANK(Input!AF49), "", "• " &amp; Input!AF49)</f>
        <v/>
      </c>
      <c r="B101" s="71"/>
      <c r="C101" s="71"/>
    </row>
    <row r="102" spans="1:3" x14ac:dyDescent="0.3">
      <c r="A102" s="71" t="str">
        <f>IF(ISBLANK(Input!AF50), "", "• " &amp; Input!AF50)</f>
        <v/>
      </c>
      <c r="B102" s="71"/>
      <c r="C102" s="71"/>
    </row>
    <row r="103" spans="1:3" x14ac:dyDescent="0.3">
      <c r="A103" s="71" t="str">
        <f>IF(ISBLANK(Input!AF51), "", "• " &amp; Input!AF51)</f>
        <v/>
      </c>
      <c r="B103" s="71"/>
      <c r="C103" s="71"/>
    </row>
    <row r="104" spans="1:3" x14ac:dyDescent="0.3">
      <c r="A104" s="71" t="str">
        <f>IF(ISBLANK(Input!AF52), "", "• " &amp; Input!AF52)</f>
        <v/>
      </c>
      <c r="B104" s="71"/>
      <c r="C104" s="71"/>
    </row>
    <row r="105" spans="1:3" x14ac:dyDescent="0.3">
      <c r="A105" s="71" t="str">
        <f>IF(ISBLANK(Input!AF53), "", "• " &amp; Input!AF53)</f>
        <v/>
      </c>
      <c r="B105" s="71"/>
      <c r="C105" s="71"/>
    </row>
    <row r="106" spans="1:3" x14ac:dyDescent="0.3">
      <c r="A106" s="71" t="str">
        <f>IF(ISBLANK(Input!AF54), "", "• " &amp; Input!AF54)</f>
        <v/>
      </c>
      <c r="B106" s="71"/>
      <c r="C106" s="71"/>
    </row>
    <row r="107" spans="1:3" x14ac:dyDescent="0.3">
      <c r="A107" s="71" t="str">
        <f>IF(ISBLANK(Input!AF55), "", "• " &amp; Input!AF55)</f>
        <v/>
      </c>
      <c r="B107" s="71"/>
      <c r="C107" s="71"/>
    </row>
    <row r="108" spans="1:3" x14ac:dyDescent="0.3">
      <c r="A108" s="71" t="str">
        <f>IF(ISBLANK(Input!AF56), "", "• " &amp; Input!AF56)</f>
        <v/>
      </c>
      <c r="B108" s="71"/>
      <c r="C108" s="71"/>
    </row>
    <row r="109" spans="1:3" x14ac:dyDescent="0.3">
      <c r="A109" s="71" t="str">
        <f>IF(ISBLANK(Input!AF57), "", "• " &amp; Input!AF57)</f>
        <v/>
      </c>
      <c r="B109" s="71"/>
      <c r="C109" s="71"/>
    </row>
    <row r="110" spans="1:3" x14ac:dyDescent="0.3">
      <c r="A110" s="71" t="str">
        <f>IF(ISBLANK(Input!AF58), "", "• " &amp; Input!AF58)</f>
        <v/>
      </c>
      <c r="B110" s="71"/>
      <c r="C110" s="71"/>
    </row>
    <row r="111" spans="1:3" x14ac:dyDescent="0.3">
      <c r="A111" s="71" t="str">
        <f>IF(ISBLANK(Input!AF59), "", "• " &amp; Input!AF59)</f>
        <v/>
      </c>
      <c r="B111" s="71"/>
      <c r="C111" s="71"/>
    </row>
    <row r="112" spans="1:3" x14ac:dyDescent="0.3">
      <c r="A112" s="71" t="str">
        <f>IF(ISBLANK(Input!AF60), "", "• " &amp; Input!AF60)</f>
        <v/>
      </c>
      <c r="B112" s="71"/>
      <c r="C112" s="71"/>
    </row>
    <row r="113" spans="1:3" x14ac:dyDescent="0.3">
      <c r="A113" s="71" t="str">
        <f>IF(ISBLANK(Input!AF61), "", "• " &amp; Input!AF61)</f>
        <v/>
      </c>
      <c r="B113" s="71"/>
      <c r="C113" s="71"/>
    </row>
    <row r="114" spans="1:3" x14ac:dyDescent="0.3">
      <c r="A114" s="71" t="str">
        <f>IF(ISBLANK(Input!AF62), "", "• " &amp; Input!AF62)</f>
        <v/>
      </c>
      <c r="B114" s="71"/>
      <c r="C114" s="71"/>
    </row>
    <row r="115" spans="1:3" x14ac:dyDescent="0.3">
      <c r="A115" s="71" t="str">
        <f>IF(ISBLANK(Input!AF63), "", "• " &amp; Input!AF63)</f>
        <v/>
      </c>
      <c r="B115" s="71"/>
      <c r="C115" s="71"/>
    </row>
    <row r="116" spans="1:3" x14ac:dyDescent="0.3">
      <c r="A116" s="71" t="str">
        <f>IF(ISBLANK(Input!AF64), "", "• " &amp; Input!AF64)</f>
        <v/>
      </c>
      <c r="B116" s="71"/>
      <c r="C116" s="71"/>
    </row>
    <row r="117" spans="1:3" x14ac:dyDescent="0.3">
      <c r="A117" s="71" t="str">
        <f>IF(ISBLANK(Input!AF65), "", "• " &amp; Input!AF65)</f>
        <v/>
      </c>
      <c r="B117" s="71"/>
      <c r="C117" s="71"/>
    </row>
    <row r="118" spans="1:3" x14ac:dyDescent="0.3">
      <c r="A118" s="71" t="str">
        <f>IF(ISBLANK(Input!AF66), "", "• " &amp; Input!AF66)</f>
        <v/>
      </c>
      <c r="B118" s="71"/>
      <c r="C118" s="71"/>
    </row>
    <row r="119" spans="1:3" x14ac:dyDescent="0.3">
      <c r="A119" s="71" t="str">
        <f>IF(ISBLANK(Input!AF67), "", "• " &amp; Input!AF67)</f>
        <v/>
      </c>
      <c r="B119" s="71"/>
      <c r="C119" s="71"/>
    </row>
    <row r="120" spans="1:3" x14ac:dyDescent="0.3">
      <c r="A120" s="71" t="str">
        <f>IF(ISBLANK(Input!AF68), "", "• " &amp; Input!AF68)</f>
        <v/>
      </c>
      <c r="B120" s="71"/>
      <c r="C120" s="71"/>
    </row>
  </sheetData>
  <mergeCells count="85">
    <mergeCell ref="A116:C116"/>
    <mergeCell ref="A117:C117"/>
    <mergeCell ref="A118:C118"/>
    <mergeCell ref="A119:C119"/>
    <mergeCell ref="A120:C120"/>
    <mergeCell ref="A111:C111"/>
    <mergeCell ref="A112:C112"/>
    <mergeCell ref="A113:C113"/>
    <mergeCell ref="A114:C114"/>
    <mergeCell ref="A115:C115"/>
    <mergeCell ref="A106:C106"/>
    <mergeCell ref="A107:C107"/>
    <mergeCell ref="A108:C108"/>
    <mergeCell ref="A109:C109"/>
    <mergeCell ref="A110:C110"/>
    <mergeCell ref="A101:C101"/>
    <mergeCell ref="A102:C102"/>
    <mergeCell ref="A103:C103"/>
    <mergeCell ref="A104:C104"/>
    <mergeCell ref="A105:C105"/>
    <mergeCell ref="A96:C96"/>
    <mergeCell ref="A97:C97"/>
    <mergeCell ref="A98:C98"/>
    <mergeCell ref="A99:C99"/>
    <mergeCell ref="A100:C100"/>
    <mergeCell ref="A91:C91"/>
    <mergeCell ref="A92:C92"/>
    <mergeCell ref="A93:C93"/>
    <mergeCell ref="A94:C94"/>
    <mergeCell ref="A95:C95"/>
    <mergeCell ref="A86:C86"/>
    <mergeCell ref="A87:C87"/>
    <mergeCell ref="A88:C88"/>
    <mergeCell ref="A89:C89"/>
    <mergeCell ref="A90:C90"/>
    <mergeCell ref="A81:C81"/>
    <mergeCell ref="A82:C82"/>
    <mergeCell ref="A83:C83"/>
    <mergeCell ref="A84:C84"/>
    <mergeCell ref="A85:C85"/>
    <mergeCell ref="A76:C76"/>
    <mergeCell ref="A77:C77"/>
    <mergeCell ref="A78:C78"/>
    <mergeCell ref="A79:C79"/>
    <mergeCell ref="A80:C80"/>
    <mergeCell ref="A71:C71"/>
    <mergeCell ref="A72:C72"/>
    <mergeCell ref="A73:C73"/>
    <mergeCell ref="A74:C74"/>
    <mergeCell ref="A75:C75"/>
    <mergeCell ref="A66:C66"/>
    <mergeCell ref="A67:C67"/>
    <mergeCell ref="A68:C68"/>
    <mergeCell ref="A69:C69"/>
    <mergeCell ref="A70:C70"/>
    <mergeCell ref="A61:C61"/>
    <mergeCell ref="A62:C62"/>
    <mergeCell ref="A63:C63"/>
    <mergeCell ref="A64:C64"/>
    <mergeCell ref="A65:C65"/>
    <mergeCell ref="A56:C56"/>
    <mergeCell ref="A57:C57"/>
    <mergeCell ref="A58:C58"/>
    <mergeCell ref="A59:C59"/>
    <mergeCell ref="A60:C60"/>
    <mergeCell ref="B52:C52"/>
    <mergeCell ref="A54:C54"/>
    <mergeCell ref="A7:C7"/>
    <mergeCell ref="A43:C43"/>
    <mergeCell ref="B13:C13"/>
    <mergeCell ref="B25:C25"/>
    <mergeCell ref="B31:C31"/>
    <mergeCell ref="B18:C18"/>
    <mergeCell ref="C15:C17"/>
    <mergeCell ref="C20:C24"/>
    <mergeCell ref="C27:C30"/>
    <mergeCell ref="C34:C40"/>
    <mergeCell ref="C45:C51"/>
    <mergeCell ref="B41:C41"/>
    <mergeCell ref="A1:C1"/>
    <mergeCell ref="A2:C2"/>
    <mergeCell ref="A3:C3"/>
    <mergeCell ref="A4:C4"/>
    <mergeCell ref="C9:C12"/>
    <mergeCell ref="A5:C5"/>
  </mergeCells>
  <pageMargins left="0.7" right="0.7" top="0.75" bottom="0.75" header="0.3" footer="0.3"/>
  <pageSetup paperSize="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vt:lpstr>
      <vt:lpstr>Graphs</vt:lpstr>
      <vt:lpstr>Final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Saif</dc:creator>
  <cp:lastModifiedBy>Ismail Saif</cp:lastModifiedBy>
  <cp:lastPrinted>2025-12-02T11:00:53Z</cp:lastPrinted>
  <dcterms:created xsi:type="dcterms:W3CDTF">2025-03-14T18:47:54Z</dcterms:created>
  <dcterms:modified xsi:type="dcterms:W3CDTF">2026-01-05T06:11:36Z</dcterms:modified>
</cp:coreProperties>
</file>